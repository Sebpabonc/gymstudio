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pabon/workout-tracker/"/>
    </mc:Choice>
  </mc:AlternateContent>
  <xr:revisionPtr revIDLastSave="0" documentId="8_{CF736795-9A60-7246-8A6A-D0B2A351CBFC}" xr6:coauthVersionLast="47" xr6:coauthVersionMax="47" xr10:uidLastSave="{00000000-0000-0000-0000-000000000000}"/>
  <bookViews>
    <workbookView xWindow="0" yWindow="500" windowWidth="28800" windowHeight="16060" xr2:uid="{00000000-000D-0000-FFFF-FFFF00000000}"/>
  </bookViews>
  <sheets>
    <sheet name="Personal Info" sheetId="1" r:id="rId1"/>
    <sheet name="Metabolic Analysis" sheetId="2" r:id="rId2"/>
    <sheet name="Nutritional Plan" sheetId="3" r:id="rId3"/>
    <sheet name="Compliance Document" sheetId="4" r:id="rId4"/>
    <sheet name="TP 16-2-26" sheetId="5" r:id="rId5"/>
    <sheet name="TP 30-3-26" sheetId="6" r:id="rId6"/>
    <sheet name="TP 11-5-26" sheetId="7" r:id="rId7"/>
    <sheet name="TP 6-7-26" sheetId="8" r:id="rId8"/>
    <sheet name="TP 17-8-26" sheetId="9" r:id="rId9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4" l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M19" i="2"/>
  <c r="L19" i="2"/>
  <c r="K19" i="2"/>
  <c r="J19" i="2"/>
  <c r="I19" i="2"/>
  <c r="H19" i="2"/>
  <c r="G19" i="2"/>
  <c r="F19" i="2"/>
  <c r="E19" i="2"/>
  <c r="D19" i="2"/>
  <c r="C19" i="2"/>
  <c r="B19" i="2"/>
  <c r="M18" i="2"/>
  <c r="L18" i="2"/>
  <c r="K18" i="2"/>
  <c r="J18" i="2"/>
  <c r="I18" i="2"/>
  <c r="H18" i="2"/>
  <c r="G18" i="2"/>
  <c r="F18" i="2"/>
  <c r="E18" i="2"/>
  <c r="D18" i="2"/>
  <c r="C18" i="2"/>
  <c r="B18" i="2"/>
</calcChain>
</file>

<file path=xl/sharedStrings.xml><?xml version="1.0" encoding="utf-8"?>
<sst xmlns="http://schemas.openxmlformats.org/spreadsheetml/2006/main" count="1514" uniqueCount="358">
  <si>
    <t>Estimated Baseline: 2,562 KCal</t>
  </si>
  <si>
    <t>Name</t>
  </si>
  <si>
    <t>10,000 Steps daily</t>
  </si>
  <si>
    <t>13-2-26</t>
  </si>
  <si>
    <t>Sebastian Pabon</t>
  </si>
  <si>
    <t>Age</t>
  </si>
  <si>
    <t>Mobile</t>
  </si>
  <si>
    <t>0415 730 308</t>
  </si>
  <si>
    <t>Email</t>
  </si>
  <si>
    <t>js.pabonc979@gmail.com</t>
  </si>
  <si>
    <t>Calories Intake</t>
  </si>
  <si>
    <t>Coach</t>
  </si>
  <si>
    <t>Luca</t>
  </si>
  <si>
    <t>2,562 KCal</t>
  </si>
  <si>
    <t>Goal</t>
  </si>
  <si>
    <t>Muscle Building - Body Composition</t>
  </si>
  <si>
    <t>Baseline</t>
  </si>
  <si>
    <t>Supplementation</t>
  </si>
  <si>
    <t>Servings</t>
  </si>
  <si>
    <t>Protein</t>
  </si>
  <si>
    <t>213 grams</t>
  </si>
  <si>
    <t xml:space="preserve">852 KCal </t>
  </si>
  <si>
    <t>Carbohydrates</t>
  </si>
  <si>
    <t>268 grams</t>
  </si>
  <si>
    <t>1,071 KCal</t>
  </si>
  <si>
    <t>Creatine Monohydrated</t>
  </si>
  <si>
    <t>10 grams Post Work Out</t>
  </si>
  <si>
    <t>Fat</t>
  </si>
  <si>
    <t>71 grams</t>
  </si>
  <si>
    <t>639 KCal</t>
  </si>
  <si>
    <t>Multivitamin</t>
  </si>
  <si>
    <t>1 serving AM</t>
  </si>
  <si>
    <t>Fibre Intake</t>
  </si>
  <si>
    <t>38 grams</t>
  </si>
  <si>
    <t>Water</t>
  </si>
  <si>
    <t>3 litres</t>
  </si>
  <si>
    <t>Cardio</t>
  </si>
  <si>
    <t>NA</t>
  </si>
  <si>
    <t>14-2-26</t>
  </si>
  <si>
    <t>2,818 KCal</t>
  </si>
  <si>
    <t>10% surplus</t>
  </si>
  <si>
    <t>332 grams</t>
  </si>
  <si>
    <t>1,327 KCal</t>
  </si>
  <si>
    <t>3,074 KCal</t>
  </si>
  <si>
    <t>396 grams</t>
  </si>
  <si>
    <t>1,583 KCal</t>
  </si>
  <si>
    <t>3,381 KCal</t>
  </si>
  <si>
    <t>472 grams</t>
  </si>
  <si>
    <t>1,890 KCal</t>
  </si>
  <si>
    <t>13-8-26</t>
  </si>
  <si>
    <t>Hypertrophy Flat Pyramid</t>
  </si>
  <si>
    <t>Chest-Back A</t>
  </si>
  <si>
    <t>Exercise</t>
  </si>
  <si>
    <t>Sets</t>
  </si>
  <si>
    <t>Reps</t>
  </si>
  <si>
    <t>Rest</t>
  </si>
  <si>
    <t>Tempo</t>
  </si>
  <si>
    <t>RPE</t>
  </si>
  <si>
    <t>Week 1</t>
  </si>
  <si>
    <t>Week 2</t>
  </si>
  <si>
    <t>Week 3</t>
  </si>
  <si>
    <t>Week 4</t>
  </si>
  <si>
    <t>Week 5</t>
  </si>
  <si>
    <t>Week 6</t>
  </si>
  <si>
    <t>A1 45 Db Press Neutral Grip</t>
  </si>
  <si>
    <t>12-12-12-12</t>
  </si>
  <si>
    <t>1'30"</t>
  </si>
  <si>
    <t>B1 30 Db Press Neutral Grip</t>
  </si>
  <si>
    <t>10"</t>
  </si>
  <si>
    <t>B2 30 Db Flies</t>
  </si>
  <si>
    <t>C1 High Cable Flies</t>
  </si>
  <si>
    <t>15-15-15</t>
  </si>
  <si>
    <t>1'</t>
  </si>
  <si>
    <t>D1 Wide Grip Cable Row</t>
  </si>
  <si>
    <t>E1 Neutral Grip LPD</t>
  </si>
  <si>
    <t>E2 Db Pull Overs</t>
  </si>
  <si>
    <t>Arms A</t>
  </si>
  <si>
    <t>A1 Wide Grip Shoulder Press Machine</t>
  </si>
  <si>
    <t>B1 60 Db OH Press Neutral Grip</t>
  </si>
  <si>
    <t>B2 Standing Db Lateral Raises</t>
  </si>
  <si>
    <t>C1 Reverse Grip Lats Machine</t>
  </si>
  <si>
    <t>10-10-10-10</t>
  </si>
  <si>
    <t xml:space="preserve">Change </t>
  </si>
  <si>
    <t>C2 Standing Db Offset Grip Curls</t>
  </si>
  <si>
    <t>D1 Close Grip Decline Press</t>
  </si>
  <si>
    <t>D2 Db Decline Skull Crushers</t>
  </si>
  <si>
    <t>Lower Body A</t>
  </si>
  <si>
    <t>A1 45 Leg Press Quad Dominant</t>
  </si>
  <si>
    <t>B1 Db Walking Lunges Long Steps</t>
  </si>
  <si>
    <t>B2 Leg Extensions Toes Dorsiflexed Neutral</t>
  </si>
  <si>
    <t>Hypertrophy Reverse Pyramid</t>
  </si>
  <si>
    <t>C1 BB RDL</t>
  </si>
  <si>
    <t>C2 Prone Leg Curl Toes Dorsiflexed Neutral</t>
  </si>
  <si>
    <t>35*</t>
  </si>
  <si>
    <t>D1 Leg Press Calf Raises Toes Neutral</t>
  </si>
  <si>
    <t>E1 Weighted V Ups</t>
  </si>
  <si>
    <t>Chest-Back B</t>
  </si>
  <si>
    <t>15-15-15-15</t>
  </si>
  <si>
    <t>A1 30 BB Bench Press</t>
  </si>
  <si>
    <t>C1 Wide Grip Cable Row</t>
  </si>
  <si>
    <t>8-10-12-15</t>
  </si>
  <si>
    <t>D1 Neutral Grip LPD</t>
  </si>
  <si>
    <t>32-30-28-26</t>
  </si>
  <si>
    <t>34-32-20-28</t>
  </si>
  <si>
    <t>D2 Db Pull Overs</t>
  </si>
  <si>
    <t>B1 Wide Grip Chest Press Drop Sets</t>
  </si>
  <si>
    <t>E1 BB Bent Over Reverse Grip Rows</t>
  </si>
  <si>
    <t>12+12</t>
  </si>
  <si>
    <t>40-35</t>
  </si>
  <si>
    <t>60-30*</t>
  </si>
  <si>
    <t>62.5-30.25</t>
  </si>
  <si>
    <t>65-35</t>
  </si>
  <si>
    <t>67.5-37.5</t>
  </si>
  <si>
    <t>Arms B</t>
  </si>
  <si>
    <t>C1 Decline Db Flies</t>
  </si>
  <si>
    <t>D1 Neutral Grip Supp. Rows</t>
  </si>
  <si>
    <t>45-42.5-40-38</t>
  </si>
  <si>
    <t>47.5-45-42.5-40</t>
  </si>
  <si>
    <t>50-47.5-45-42,5</t>
  </si>
  <si>
    <t>E1 Cable Straight Arms Pull Downs Drop Sets</t>
  </si>
  <si>
    <t>30-20</t>
  </si>
  <si>
    <t>31-25-21.5</t>
  </si>
  <si>
    <t>32-22</t>
  </si>
  <si>
    <t>F1 Wide Grip LPD</t>
  </si>
  <si>
    <t>Lower Body B</t>
  </si>
  <si>
    <t>A1 75 Neutral Grip Db OH Press</t>
  </si>
  <si>
    <t>50-47.5-45-42.5</t>
  </si>
  <si>
    <t>52.5-50-45-42.5</t>
  </si>
  <si>
    <t>55-52-50-48</t>
  </si>
  <si>
    <t>B1 Lateral Raises Machine Drop Sets</t>
  </si>
  <si>
    <t>14-8</t>
  </si>
  <si>
    <t>16-8</t>
  </si>
  <si>
    <t>C1 EZ BB Preacher Curls</t>
  </si>
  <si>
    <t>9-9-7.5-6.25</t>
  </si>
  <si>
    <t>10-9-7-6</t>
  </si>
  <si>
    <t>11-10-9-8</t>
  </si>
  <si>
    <t>12-11-10-9</t>
  </si>
  <si>
    <t>D1 45 Hammer Curls Drop Sets</t>
  </si>
  <si>
    <t>10-8)</t>
  </si>
  <si>
    <t>14-6</t>
  </si>
  <si>
    <t>E1 Close Grip Dips</t>
  </si>
  <si>
    <t>37.5-35-32.5-30</t>
  </si>
  <si>
    <t xml:space="preserve">  30-27.5-25-22.5</t>
  </si>
  <si>
    <t>32.5-30.27-5-25</t>
  </si>
  <si>
    <t xml:space="preserve">32.5 all </t>
  </si>
  <si>
    <t>34 all</t>
  </si>
  <si>
    <t>36-36-34-34</t>
  </si>
  <si>
    <t>F1 V BB Cable Tricep Extensions Drop Sets</t>
  </si>
  <si>
    <t>10-7.5</t>
  </si>
  <si>
    <t>11-7.5</t>
  </si>
  <si>
    <t>12-7.5</t>
  </si>
  <si>
    <t>A1 Heels Elevated HB Squats</t>
  </si>
  <si>
    <t>24 -22-20-18</t>
  </si>
  <si>
    <t>B1 Leg Extensions Toes Dorsiflexed Out Drop Sets</t>
  </si>
  <si>
    <t>52.5-20</t>
  </si>
  <si>
    <t>55-22.5</t>
  </si>
  <si>
    <t>57.5-22.5</t>
  </si>
  <si>
    <t>C1 Hor. Back Extensions Glutes Dominant</t>
  </si>
  <si>
    <t>60-60-50-40</t>
  </si>
  <si>
    <t>65-62.5-60-60</t>
  </si>
  <si>
    <t>70-70-70-60</t>
  </si>
  <si>
    <t>75-75-75-70</t>
  </si>
  <si>
    <t>80-80-75-70</t>
  </si>
  <si>
    <t>80-80-80-70</t>
  </si>
  <si>
    <t>D1 Seated Leg Curl Toes Dorsiflexed Neutral Drop Sets</t>
  </si>
  <si>
    <t>37.5-20</t>
  </si>
  <si>
    <t>40-20</t>
  </si>
  <si>
    <t>40/20</t>
  </si>
  <si>
    <t>42-22</t>
  </si>
  <si>
    <t>E1 Standing Calf Raises Toes Neutral</t>
  </si>
  <si>
    <t>110)</t>
  </si>
  <si>
    <t>F1 Decline Reverse Crunches</t>
  </si>
  <si>
    <t>20-20-20-20</t>
  </si>
  <si>
    <t>10-12-15-20</t>
  </si>
  <si>
    <t>28-26-24-20</t>
  </si>
  <si>
    <t>30-28-26-22</t>
  </si>
  <si>
    <t>32-30-28-22</t>
  </si>
  <si>
    <t>34-30-28-22</t>
  </si>
  <si>
    <t>15+15</t>
  </si>
  <si>
    <t>45-20</t>
  </si>
  <si>
    <t>50-20*</t>
  </si>
  <si>
    <t>55-25</t>
  </si>
  <si>
    <t>57.5-27.5</t>
  </si>
  <si>
    <t>60-30</t>
  </si>
  <si>
    <t>62-32</t>
  </si>
  <si>
    <t>42.5-40-40-30</t>
  </si>
  <si>
    <t xml:space="preserve">45-45-42.5-35 </t>
  </si>
  <si>
    <t>47.5-45-40-35</t>
  </si>
  <si>
    <t>50-50-45-20</t>
  </si>
  <si>
    <t>25-15</t>
  </si>
  <si>
    <t>26-16</t>
  </si>
  <si>
    <t>27.5-17.5</t>
  </si>
  <si>
    <t>30-19</t>
  </si>
  <si>
    <t>45-42.5-40-20</t>
  </si>
  <si>
    <t>47.5-45-42.5-25</t>
  </si>
  <si>
    <t>50-47-45-42</t>
  </si>
  <si>
    <t>9-7.25-6.5-5</t>
  </si>
  <si>
    <t>10-9-7.5-5</t>
  </si>
  <si>
    <t>11-10-9-5</t>
  </si>
  <si>
    <t>12-10-10-5</t>
  </si>
  <si>
    <t>30-27.5-25-15</t>
  </si>
  <si>
    <t>27.5-25-22.5-15</t>
  </si>
  <si>
    <t>31-30-27.5-27.5</t>
  </si>
  <si>
    <t>10-6)</t>
  </si>
  <si>
    <t>22-20-18-15</t>
  </si>
  <si>
    <t>30-30-30-18</t>
  </si>
  <si>
    <t>40-15</t>
  </si>
  <si>
    <t>42.5-17.5</t>
  </si>
  <si>
    <t xml:space="preserve">45-20 </t>
  </si>
  <si>
    <t>47.5-22.5</t>
  </si>
  <si>
    <t>60-55-50-40</t>
  </si>
  <si>
    <t>65-60-55-45</t>
  </si>
  <si>
    <t>70-65-60-50</t>
  </si>
  <si>
    <t>80-75-70-60</t>
  </si>
  <si>
    <t>32.5-17.5</t>
  </si>
  <si>
    <t>35-20</t>
  </si>
  <si>
    <t>Functinal Hypertrophy Flat Pyramid</t>
  </si>
  <si>
    <t>A1 BB Bench Press</t>
  </si>
  <si>
    <t>6-6-6-6</t>
  </si>
  <si>
    <t>2'</t>
  </si>
  <si>
    <t>B1 45 BB Press</t>
  </si>
  <si>
    <t>8-8-8-8</t>
  </si>
  <si>
    <t xml:space="preserve">Laterales sin barras </t>
  </si>
  <si>
    <t>C1 Wide Grip Supp. Seated Row</t>
  </si>
  <si>
    <t>D1 Neutral Grip Weighted Chin Ups</t>
  </si>
  <si>
    <t>E1 Wide Grip Cable Chest Pulls</t>
  </si>
  <si>
    <t>A1 Plate Loaded Wide Grip Shoulder Press Machine</t>
  </si>
  <si>
    <t>B1 Reverse Grip Chin Up Weighted</t>
  </si>
  <si>
    <t>C1 Close Grip Bench Press</t>
  </si>
  <si>
    <t>D1 60 Db Curls Offset Grip</t>
  </si>
  <si>
    <t>E1 Rope Low Cable OH Tricep Extensions</t>
  </si>
  <si>
    <t>A1 Hack Squat Machine</t>
  </si>
  <si>
    <t>C1 Prone Leg Curl Toes Dorsiflexed Neutral</t>
  </si>
  <si>
    <t>D1 Weighted 45 Back Extensions</t>
  </si>
  <si>
    <t>E1 Hanging Leg Raises Weighted</t>
  </si>
  <si>
    <t>...</t>
  </si>
  <si>
    <t>19-2-26</t>
  </si>
  <si>
    <t>19-3-26</t>
  </si>
  <si>
    <t>15-4-26</t>
  </si>
  <si>
    <t>30-4-26</t>
  </si>
  <si>
    <t>14-5-26</t>
  </si>
  <si>
    <t>16-7-26</t>
  </si>
  <si>
    <t>30-7-26</t>
  </si>
  <si>
    <t>Cheek</t>
  </si>
  <si>
    <t>Chin</t>
  </si>
  <si>
    <t>Pectoral</t>
  </si>
  <si>
    <t>Tricep</t>
  </si>
  <si>
    <t>Subscapularis</t>
  </si>
  <si>
    <t>Midaxilary</t>
  </si>
  <si>
    <t>Suprailiac</t>
  </si>
  <si>
    <t>Umbilicar</t>
  </si>
  <si>
    <t xml:space="preserve">Quadricep </t>
  </si>
  <si>
    <t>Hamstring</t>
  </si>
  <si>
    <t>Knee</t>
  </si>
  <si>
    <t>Calf</t>
  </si>
  <si>
    <t>Bodyweight</t>
  </si>
  <si>
    <t>70.6 kg</t>
  </si>
  <si>
    <t>70.5 kg</t>
  </si>
  <si>
    <t>72.4 kg</t>
  </si>
  <si>
    <t>73.8 kg</t>
  </si>
  <si>
    <t>74.6 kg</t>
  </si>
  <si>
    <t>75.9 kg</t>
  </si>
  <si>
    <t>76.8 kg</t>
  </si>
  <si>
    <t>77.4 kg</t>
  </si>
  <si>
    <t>80.5 kg</t>
  </si>
  <si>
    <t>81.9 kg</t>
  </si>
  <si>
    <t>80.1 kg</t>
  </si>
  <si>
    <t>77.8 kg</t>
  </si>
  <si>
    <t>Body Fat</t>
  </si>
  <si>
    <t>Sums 10</t>
  </si>
  <si>
    <t>Sum 2</t>
  </si>
  <si>
    <t>4 weeks before cutting</t>
  </si>
  <si>
    <t>2 weeks before cutting</t>
  </si>
  <si>
    <t>Start cutting</t>
  </si>
  <si>
    <t>Hypertrophy Pyramid</t>
  </si>
  <si>
    <t>A1 Plate Loaded Chest Press Wide Grip</t>
  </si>
  <si>
    <t>15-12-10-8</t>
  </si>
  <si>
    <t>35-32.5-30-20</t>
  </si>
  <si>
    <t>37.5-35-32.5-32.5</t>
  </si>
  <si>
    <t>35-40-42.5-45</t>
  </si>
  <si>
    <t>37.5-42.5-45</t>
  </si>
  <si>
    <t>B1 45 Db Press Neutral Grip</t>
  </si>
  <si>
    <t>B2 45 Db Flies</t>
  </si>
  <si>
    <t>C1 Unilateral Handle LPD</t>
  </si>
  <si>
    <t>15-19-21-24</t>
  </si>
  <si>
    <t>20-25-3.-35</t>
  </si>
  <si>
    <t>27.5-30-32.5-35</t>
  </si>
  <si>
    <t>20-30</t>
  </si>
  <si>
    <t>22-27-32-37</t>
  </si>
  <si>
    <t>D1 Unilateral Supp. Rows Reverse Grip</t>
  </si>
  <si>
    <t>D2 Straight BB Straight Arms Pull Downs</t>
  </si>
  <si>
    <t>A1 Neutral Grip Pin Loaded Shoulder Press</t>
  </si>
  <si>
    <t>42.5-40-37.5-35</t>
  </si>
  <si>
    <t>45-42.5-40-37.5</t>
  </si>
  <si>
    <t>52.5-50-47.5-45</t>
  </si>
  <si>
    <t>B1 75 Db OH Press Neutral Grip</t>
  </si>
  <si>
    <t>C1 Standing Db Offset Grip Curls</t>
  </si>
  <si>
    <t>C2 30 Db Spider Hammer Curls</t>
  </si>
  <si>
    <t>D1 Cable Rope Tricep Extensions</t>
  </si>
  <si>
    <t>D2 Db Skull Crushers</t>
  </si>
  <si>
    <t>20-25</t>
  </si>
  <si>
    <t>30-25</t>
  </si>
  <si>
    <t>27.5-32.5</t>
  </si>
  <si>
    <t>B1 FFE Db Split Squats</t>
  </si>
  <si>
    <t>C1 Seated Leg Curls Toes Dorsiflexed Neutral</t>
  </si>
  <si>
    <t>C2 Seated Leg Curls Toes Dorsiflexed Out</t>
  </si>
  <si>
    <t>D1 Weighted V Ups</t>
  </si>
  <si>
    <t>20-15-12-10</t>
  </si>
  <si>
    <t>20-25-30-35</t>
  </si>
  <si>
    <t>20-40</t>
  </si>
  <si>
    <t>45-40-35-30</t>
  </si>
  <si>
    <t>32.5-37.5-42.5-47.5</t>
  </si>
  <si>
    <t>20-20-20</t>
  </si>
  <si>
    <t>20-22.5-25-27.5</t>
  </si>
  <si>
    <t>30-35-40-42.5</t>
  </si>
  <si>
    <t>40-42.5-45-50</t>
  </si>
  <si>
    <t>47.5-52.5-57.5</t>
  </si>
  <si>
    <t>15-25</t>
  </si>
  <si>
    <t>20-20</t>
  </si>
  <si>
    <t>Date</t>
  </si>
  <si>
    <t>BodyWeight</t>
  </si>
  <si>
    <t>Calories day before</t>
  </si>
  <si>
    <t>Steps day before</t>
  </si>
  <si>
    <t>Hours Sleep Day before</t>
  </si>
  <si>
    <t>30-27.5-25- 22.5</t>
  </si>
  <si>
    <t>32.5-30-27.5-25</t>
  </si>
  <si>
    <t>30-32.5-30-27.5</t>
  </si>
  <si>
    <t>B1 Middle Cable Flies Drop Sets</t>
  </si>
  <si>
    <t>12.5-8</t>
  </si>
  <si>
    <t>C1 Decline BB Press</t>
  </si>
  <si>
    <t>D1 Wide Grip LPD</t>
  </si>
  <si>
    <t>70-65-60-55</t>
  </si>
  <si>
    <t>75-70-65-60</t>
  </si>
  <si>
    <t>F1 Single Hand Cable Unilateral Rows</t>
  </si>
  <si>
    <t>A1 60 Neutral Grip Db OH Press</t>
  </si>
  <si>
    <t>26-24-22-20</t>
  </si>
  <si>
    <t>28-26-24-22</t>
  </si>
  <si>
    <t>28*-26-24-22</t>
  </si>
  <si>
    <t>30-28-26-24</t>
  </si>
  <si>
    <t>B1 Db 60 Y Raises Drop Sets</t>
  </si>
  <si>
    <t>C1 Single Db Preacher Curls</t>
  </si>
  <si>
    <t>11-10-8-7.5</t>
  </si>
  <si>
    <t>D1 Low Cable Ropes Curls Drop Sets</t>
  </si>
  <si>
    <t>16-6</t>
  </si>
  <si>
    <t>17.5-7.5</t>
  </si>
  <si>
    <t>E1 Close Grip Press</t>
  </si>
  <si>
    <t>35-30-25-20</t>
  </si>
  <si>
    <t>22.5-12.5</t>
  </si>
  <si>
    <t>A1 Hack Squats</t>
  </si>
  <si>
    <t>15-40</t>
  </si>
  <si>
    <t>60-55-50-50</t>
  </si>
  <si>
    <t>D1 Prone Leg Curls Toes Dorsiflexed Neutral Drop Sets</t>
  </si>
  <si>
    <t>E1 Leg Press Calf Raises Neutral</t>
  </si>
  <si>
    <t>F1 Decline Weighted Crunches</t>
  </si>
  <si>
    <t>20+20</t>
  </si>
  <si>
    <t>20-10</t>
  </si>
  <si>
    <t>22-12</t>
  </si>
  <si>
    <t>15-7.5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</si>
</sst>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-d\-yy"/>
    <numFmt numFmtId="165" formatCode="m\-d"/>
    <numFmt numFmtId="166" formatCode="m/d/yyyy"/>
  </numFmts>
  <fonts count="8" x14ac:knownFonts="1">
    <font>
      <sz val="10"/>
      <color rgb="FF00000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trike/>
      <sz val="10"/>
      <name val="Arial"/>
      <family val="2"/>
    </font>
    <font>
      <b/>
      <sz val="10"/>
      <color rgb="FF000000"/>
      <name val="Arial"/>
      <family val="2"/>
    </font>
    <font>
      <i/>
      <strike/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00FFFF"/>
        <bgColor rgb="FF00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3" borderId="1" xfId="0" applyFont="1" applyFill="1" applyBorder="1"/>
    <xf numFmtId="0" fontId="2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2" fillId="4" borderId="1" xfId="0" applyFont="1" applyFill="1" applyBorder="1"/>
    <xf numFmtId="0" fontId="1" fillId="5" borderId="2" xfId="0" applyFont="1" applyFill="1" applyBorder="1"/>
    <xf numFmtId="3" fontId="4" fillId="5" borderId="2" xfId="0" applyNumberFormat="1" applyFont="1" applyFill="1" applyBorder="1" applyAlignment="1">
      <alignment horizontal="right"/>
    </xf>
    <xf numFmtId="0" fontId="4" fillId="5" borderId="2" xfId="0" applyFont="1" applyFill="1" applyBorder="1" applyAlignment="1">
      <alignment horizontal="right"/>
    </xf>
    <xf numFmtId="0" fontId="4" fillId="6" borderId="1" xfId="0" applyFont="1" applyFill="1" applyBorder="1"/>
    <xf numFmtId="0" fontId="1" fillId="7" borderId="0" xfId="0" applyFont="1" applyFill="1"/>
    <xf numFmtId="0" fontId="3" fillId="0" borderId="0" xfId="0" applyFont="1"/>
    <xf numFmtId="0" fontId="4" fillId="0" borderId="3" xfId="0" applyFont="1" applyBorder="1"/>
    <xf numFmtId="0" fontId="4" fillId="5" borderId="4" xfId="0" applyFont="1" applyFill="1" applyBorder="1"/>
    <xf numFmtId="3" fontId="4" fillId="5" borderId="4" xfId="0" applyNumberFormat="1" applyFont="1" applyFill="1" applyBorder="1"/>
    <xf numFmtId="9" fontId="1" fillId="8" borderId="2" xfId="0" applyNumberFormat="1" applyFont="1" applyFill="1" applyBorder="1"/>
    <xf numFmtId="0" fontId="1" fillId="8" borderId="1" xfId="0" applyFont="1" applyFill="1" applyBorder="1"/>
    <xf numFmtId="0" fontId="1" fillId="5" borderId="4" xfId="0" applyFont="1" applyFill="1" applyBorder="1"/>
    <xf numFmtId="0" fontId="4" fillId="5" borderId="4" xfId="0" applyFont="1" applyFill="1" applyBorder="1" applyAlignment="1">
      <alignment horizontal="right"/>
    </xf>
    <xf numFmtId="0" fontId="4" fillId="8" borderId="4" xfId="0" applyFont="1" applyFill="1" applyBorder="1"/>
    <xf numFmtId="0" fontId="1" fillId="5" borderId="1" xfId="0" applyFont="1" applyFill="1" applyBorder="1"/>
    <xf numFmtId="0" fontId="4" fillId="5" borderId="1" xfId="0" applyFont="1" applyFill="1" applyBorder="1" applyAlignment="1">
      <alignment horizontal="right"/>
    </xf>
    <xf numFmtId="0" fontId="4" fillId="7" borderId="1" xfId="0" applyFont="1" applyFill="1" applyBorder="1"/>
    <xf numFmtId="0" fontId="4" fillId="0" borderId="1" xfId="0" applyFont="1" applyBorder="1"/>
    <xf numFmtId="0" fontId="4" fillId="0" borderId="0" xfId="0" applyFont="1"/>
    <xf numFmtId="0" fontId="1" fillId="9" borderId="1" xfId="0" applyFont="1" applyFill="1" applyBorder="1"/>
    <xf numFmtId="0" fontId="4" fillId="9" borderId="1" xfId="0" applyFont="1" applyFill="1" applyBorder="1" applyAlignment="1">
      <alignment horizontal="right"/>
    </xf>
    <xf numFmtId="0" fontId="4" fillId="9" borderId="1" xfId="0" applyFont="1" applyFill="1" applyBorder="1"/>
    <xf numFmtId="3" fontId="4" fillId="9" borderId="1" xfId="0" applyNumberFormat="1" applyFont="1" applyFill="1" applyBorder="1"/>
    <xf numFmtId="9" fontId="4" fillId="8" borderId="4" xfId="0" applyNumberFormat="1" applyFont="1" applyFill="1" applyBorder="1"/>
    <xf numFmtId="0" fontId="3" fillId="7" borderId="0" xfId="0" applyFont="1" applyFill="1"/>
    <xf numFmtId="0" fontId="2" fillId="7" borderId="0" xfId="0" applyFont="1" applyFill="1"/>
    <xf numFmtId="3" fontId="2" fillId="7" borderId="0" xfId="0" applyNumberFormat="1" applyFont="1" applyFill="1"/>
    <xf numFmtId="0" fontId="4" fillId="7" borderId="0" xfId="0" applyFont="1" applyFill="1"/>
    <xf numFmtId="0" fontId="4" fillId="7" borderId="0" xfId="0" applyFont="1" applyFill="1" applyAlignment="1">
      <alignment horizontal="right"/>
    </xf>
    <xf numFmtId="164" fontId="1" fillId="5" borderId="1" xfId="0" applyNumberFormat="1" applyFont="1" applyFill="1" applyBorder="1" applyAlignment="1">
      <alignment horizontal="left"/>
    </xf>
    <xf numFmtId="9" fontId="4" fillId="5" borderId="2" xfId="0" applyNumberFormat="1" applyFont="1" applyFill="1" applyBorder="1" applyAlignment="1">
      <alignment horizontal="right"/>
    </xf>
    <xf numFmtId="3" fontId="4" fillId="7" borderId="0" xfId="0" applyNumberFormat="1" applyFont="1" applyFill="1"/>
    <xf numFmtId="9" fontId="4" fillId="7" borderId="0" xfId="0" applyNumberFormat="1" applyFont="1" applyFill="1"/>
    <xf numFmtId="0" fontId="1" fillId="3" borderId="1" xfId="0" applyFont="1" applyFill="1" applyBorder="1"/>
    <xf numFmtId="0" fontId="4" fillId="0" borderId="5" xfId="0" applyFont="1" applyBorder="1"/>
    <xf numFmtId="0" fontId="1" fillId="3" borderId="6" xfId="0" applyFont="1" applyFill="1" applyBorder="1"/>
    <xf numFmtId="0" fontId="1" fillId="3" borderId="4" xfId="0" applyFont="1" applyFill="1" applyBorder="1"/>
    <xf numFmtId="0" fontId="4" fillId="4" borderId="4" xfId="0" applyFont="1" applyFill="1" applyBorder="1"/>
    <xf numFmtId="0" fontId="4" fillId="4" borderId="4" xfId="0" applyFont="1" applyFill="1" applyBorder="1" applyAlignment="1">
      <alignment horizontal="right"/>
    </xf>
    <xf numFmtId="164" fontId="4" fillId="4" borderId="4" xfId="0" applyNumberFormat="1" applyFont="1" applyFill="1" applyBorder="1" applyAlignment="1">
      <alignment horizontal="right"/>
    </xf>
    <xf numFmtId="0" fontId="4" fillId="10" borderId="4" xfId="0" applyFont="1" applyFill="1" applyBorder="1"/>
    <xf numFmtId="0" fontId="4" fillId="3" borderId="4" xfId="0" applyFont="1" applyFill="1" applyBorder="1"/>
    <xf numFmtId="0" fontId="4" fillId="10" borderId="4" xfId="0" applyFont="1" applyFill="1" applyBorder="1" applyAlignment="1">
      <alignment wrapText="1"/>
    </xf>
    <xf numFmtId="0" fontId="1" fillId="3" borderId="2" xfId="0" applyFont="1" applyFill="1" applyBorder="1"/>
    <xf numFmtId="164" fontId="1" fillId="3" borderId="2" xfId="0" applyNumberFormat="1" applyFont="1" applyFill="1" applyBorder="1"/>
    <xf numFmtId="164" fontId="4" fillId="4" borderId="4" xfId="0" applyNumberFormat="1" applyFont="1" applyFill="1" applyBorder="1"/>
    <xf numFmtId="0" fontId="4" fillId="0" borderId="4" xfId="0" applyFont="1" applyBorder="1"/>
    <xf numFmtId="164" fontId="4" fillId="0" borderId="0" xfId="0" applyNumberFormat="1" applyFont="1"/>
    <xf numFmtId="0" fontId="4" fillId="7" borderId="3" xfId="0" applyFont="1" applyFill="1" applyBorder="1"/>
    <xf numFmtId="0" fontId="4" fillId="0" borderId="4" xfId="0" applyFont="1" applyBorder="1" applyAlignment="1">
      <alignment horizontal="right"/>
    </xf>
    <xf numFmtId="165" fontId="4" fillId="10" borderId="1" xfId="0" applyNumberFormat="1" applyFont="1" applyFill="1" applyBorder="1"/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0" borderId="0" xfId="0" applyFont="1"/>
    <xf numFmtId="0" fontId="4" fillId="4" borderId="4" xfId="0" applyFont="1" applyFill="1" applyBorder="1" applyAlignment="1">
      <alignment horizontal="center"/>
    </xf>
    <xf numFmtId="0" fontId="4" fillId="4" borderId="4" xfId="0" applyFont="1" applyFill="1" applyBorder="1" applyAlignment="1">
      <alignment vertical="center"/>
    </xf>
    <xf numFmtId="0" fontId="4" fillId="4" borderId="1" xfId="0" applyFont="1" applyFill="1" applyBorder="1"/>
    <xf numFmtId="0" fontId="4" fillId="10" borderId="4" xfId="0" applyFont="1" applyFill="1" applyBorder="1" applyAlignment="1">
      <alignment horizontal="center"/>
    </xf>
    <xf numFmtId="0" fontId="4" fillId="10" borderId="1" xfId="0" applyFont="1" applyFill="1" applyBorder="1"/>
    <xf numFmtId="0" fontId="4" fillId="3" borderId="4" xfId="0" applyFont="1" applyFill="1" applyBorder="1" applyAlignment="1">
      <alignment horizontal="center"/>
    </xf>
    <xf numFmtId="0" fontId="5" fillId="3" borderId="4" xfId="0" applyFont="1" applyFill="1" applyBorder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right"/>
    </xf>
    <xf numFmtId="0" fontId="2" fillId="0" borderId="0" xfId="0" applyFont="1" applyAlignment="1">
      <alignment vertical="top"/>
    </xf>
    <xf numFmtId="0" fontId="2" fillId="10" borderId="0" xfId="0" applyFont="1" applyFill="1" applyAlignment="1">
      <alignment horizontal="center"/>
    </xf>
    <xf numFmtId="165" fontId="4" fillId="3" borderId="1" xfId="0" applyNumberFormat="1" applyFont="1" applyFill="1" applyBorder="1" applyAlignment="1">
      <alignment horizontal="center"/>
    </xf>
    <xf numFmtId="165" fontId="4" fillId="10" borderId="1" xfId="0" applyNumberFormat="1" applyFont="1" applyFill="1" applyBorder="1" applyAlignment="1">
      <alignment horizontal="center"/>
    </xf>
    <xf numFmtId="0" fontId="4" fillId="10" borderId="1" xfId="0" applyFont="1" applyFill="1" applyBorder="1" applyAlignment="1">
      <alignment horizontal="right"/>
    </xf>
    <xf numFmtId="3" fontId="4" fillId="4" borderId="4" xfId="0" applyNumberFormat="1" applyFont="1" applyFill="1" applyBorder="1"/>
    <xf numFmtId="0" fontId="4" fillId="4" borderId="1" xfId="0" applyFont="1" applyFill="1" applyBorder="1" applyAlignment="1">
      <alignment horizontal="right"/>
    </xf>
    <xf numFmtId="165" fontId="4" fillId="3" borderId="1" xfId="0" applyNumberFormat="1" applyFont="1" applyFill="1" applyBorder="1"/>
    <xf numFmtId="0" fontId="2" fillId="11" borderId="0" xfId="0" applyFont="1" applyFill="1"/>
    <xf numFmtId="0" fontId="4" fillId="11" borderId="0" xfId="0" applyFont="1" applyFill="1"/>
    <xf numFmtId="0" fontId="4" fillId="11" borderId="5" xfId="0" applyFont="1" applyFill="1" applyBorder="1"/>
    <xf numFmtId="0" fontId="1" fillId="11" borderId="4" xfId="0" applyFont="1" applyFill="1" applyBorder="1"/>
    <xf numFmtId="0" fontId="4" fillId="11" borderId="4" xfId="0" applyFont="1" applyFill="1" applyBorder="1"/>
    <xf numFmtId="0" fontId="4" fillId="11" borderId="1" xfId="0" applyFont="1" applyFill="1" applyBorder="1"/>
    <xf numFmtId="0" fontId="1" fillId="11" borderId="1" xfId="0" applyFont="1" applyFill="1" applyBorder="1"/>
    <xf numFmtId="0" fontId="4" fillId="10" borderId="4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3" fillId="0" borderId="1" xfId="0" applyFont="1" applyBorder="1"/>
    <xf numFmtId="16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0" fontId="2" fillId="10" borderId="0" xfId="0" applyFont="1" applyFill="1"/>
    <xf numFmtId="0" fontId="2" fillId="3" borderId="0" xfId="0" applyFont="1" applyFill="1"/>
    <xf numFmtId="0" fontId="2" fillId="7" borderId="0" xfId="0" applyFont="1" applyFill="1" applyAlignment="1">
      <alignment horizontal="right"/>
    </xf>
    <xf numFmtId="0" fontId="3" fillId="7" borderId="1" xfId="0" applyFont="1" applyFill="1" applyBorder="1" applyAlignment="1">
      <alignment horizontal="center"/>
    </xf>
    <xf numFmtId="164" fontId="3" fillId="7" borderId="1" xfId="0" applyNumberFormat="1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164" fontId="2" fillId="7" borderId="0" xfId="0" applyNumberFormat="1" applyFont="1" applyFill="1"/>
    <xf numFmtId="10" fontId="2" fillId="4" borderId="1" xfId="0" applyNumberFormat="1" applyFont="1" applyFill="1" applyBorder="1" applyAlignment="1">
      <alignment horizontal="right"/>
    </xf>
    <xf numFmtId="10" fontId="2" fillId="4" borderId="1" xfId="0" applyNumberFormat="1" applyFont="1" applyFill="1" applyBorder="1"/>
    <xf numFmtId="10" fontId="2" fillId="0" borderId="1" xfId="0" applyNumberFormat="1" applyFont="1" applyBorder="1"/>
    <xf numFmtId="10" fontId="2" fillId="0" borderId="1" xfId="0" applyNumberFormat="1" applyFont="1" applyBorder="1" applyAlignment="1">
      <alignment horizontal="right"/>
    </xf>
    <xf numFmtId="0" fontId="3" fillId="3" borderId="1" xfId="0" applyFont="1" applyFill="1" applyBorder="1" applyAlignment="1">
      <alignment horizontal="left"/>
    </xf>
    <xf numFmtId="0" fontId="2" fillId="0" borderId="0" xfId="0" applyFont="1" applyAlignment="1">
      <alignment horizontal="right"/>
    </xf>
    <xf numFmtId="0" fontId="1" fillId="0" borderId="0" xfId="0" applyFont="1"/>
    <xf numFmtId="164" fontId="3" fillId="7" borderId="0" xfId="0" applyNumberFormat="1" applyFont="1" applyFill="1" applyAlignment="1">
      <alignment horizontal="center"/>
    </xf>
    <xf numFmtId="3" fontId="4" fillId="0" borderId="0" xfId="0" applyNumberFormat="1" applyFont="1"/>
    <xf numFmtId="0" fontId="2" fillId="3" borderId="1" xfId="0" applyFont="1" applyFill="1" applyBorder="1"/>
    <xf numFmtId="164" fontId="4" fillId="4" borderId="1" xfId="0" applyNumberFormat="1" applyFont="1" applyFill="1" applyBorder="1" applyAlignment="1">
      <alignment horizontal="right"/>
    </xf>
    <xf numFmtId="0" fontId="4" fillId="12" borderId="1" xfId="0" applyFont="1" applyFill="1" applyBorder="1"/>
    <xf numFmtId="10" fontId="1" fillId="0" borderId="0" xfId="0" applyNumberFormat="1" applyFont="1"/>
    <xf numFmtId="0" fontId="2" fillId="10" borderId="1" xfId="0" applyFont="1" applyFill="1" applyBorder="1"/>
    <xf numFmtId="0" fontId="4" fillId="10" borderId="0" xfId="0" applyFont="1" applyFill="1"/>
    <xf numFmtId="10" fontId="2" fillId="7" borderId="0" xfId="0" applyNumberFormat="1" applyFont="1" applyFill="1" applyAlignment="1">
      <alignment horizontal="right"/>
    </xf>
    <xf numFmtId="10" fontId="2" fillId="7" borderId="0" xfId="0" applyNumberFormat="1" applyFont="1" applyFill="1"/>
    <xf numFmtId="0" fontId="3" fillId="7" borderId="0" xfId="0" applyFont="1" applyFill="1" applyAlignment="1">
      <alignment horizontal="left"/>
    </xf>
    <xf numFmtId="0" fontId="4" fillId="12" borderId="4" xfId="0" applyFont="1" applyFill="1" applyBorder="1"/>
    <xf numFmtId="0" fontId="2" fillId="12" borderId="1" xfId="0" applyFont="1" applyFill="1" applyBorder="1"/>
    <xf numFmtId="0" fontId="4" fillId="4" borderId="1" xfId="0" applyFont="1" applyFill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12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165" fontId="4" fillId="10" borderId="1" xfId="0" applyNumberFormat="1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6" fillId="3" borderId="1" xfId="0" applyFont="1" applyFill="1" applyBorder="1"/>
    <xf numFmtId="166" fontId="1" fillId="3" borderId="6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3" fontId="4" fillId="4" borderId="1" xfId="0" applyNumberFormat="1" applyFont="1" applyFill="1" applyBorder="1" applyAlignment="1">
      <alignment horizontal="center"/>
    </xf>
    <xf numFmtId="165" fontId="4" fillId="10" borderId="4" xfId="0" applyNumberFormat="1" applyFont="1" applyFill="1" applyBorder="1"/>
    <xf numFmtId="165" fontId="4" fillId="3" borderId="4" xfId="0" applyNumberFormat="1" applyFont="1" applyFill="1" applyBorder="1"/>
    <xf numFmtId="3" fontId="2" fillId="4" borderId="1" xfId="0" applyNumberFormat="1" applyFont="1" applyFill="1" applyBorder="1" applyAlignment="1">
      <alignment horizontal="center"/>
    </xf>
    <xf numFmtId="165" fontId="4" fillId="4" borderId="1" xfId="0" applyNumberFormat="1" applyFont="1" applyFill="1" applyBorder="1" applyAlignment="1">
      <alignment horizontal="right"/>
    </xf>
    <xf numFmtId="165" fontId="4" fillId="3" borderId="1" xfId="0" applyNumberFormat="1" applyFont="1" applyFill="1" applyBorder="1" applyAlignment="1">
      <alignment horizontal="right"/>
    </xf>
    <xf numFmtId="165" fontId="4" fillId="10" borderId="1" xfId="0" applyNumberFormat="1" applyFont="1" applyFill="1" applyBorder="1" applyAlignment="1">
      <alignment horizontal="right"/>
    </xf>
    <xf numFmtId="165" fontId="7" fillId="10" borderId="1" xfId="0" applyNumberFormat="1" applyFont="1" applyFill="1" applyBorder="1" applyAlignment="1">
      <alignment horizontal="center"/>
    </xf>
    <xf numFmtId="0" fontId="7" fillId="10" borderId="1" xfId="0" applyFont="1" applyFill="1" applyBorder="1" applyAlignment="1">
      <alignment horizontal="center"/>
    </xf>
    <xf numFmtId="165" fontId="4" fillId="4" borderId="4" xfId="0" applyNumberFormat="1" applyFont="1" applyFill="1" applyBorder="1"/>
    <xf numFmtId="165" fontId="4" fillId="3" borderId="4" xfId="0" applyNumberFormat="1" applyFont="1" applyFill="1" applyBorder="1" applyAlignment="1">
      <alignment horizontal="right"/>
    </xf>
    <xf numFmtId="165" fontId="4" fillId="10" borderId="4" xfId="0" applyNumberFormat="1" applyFont="1" applyFill="1" applyBorder="1" applyAlignment="1">
      <alignment horizontal="right"/>
    </xf>
    <xf numFmtId="0" fontId="4" fillId="10" borderId="4" xfId="0" applyFont="1" applyFill="1" applyBorder="1" applyAlignment="1">
      <alignment horizontal="right"/>
    </xf>
    <xf numFmtId="0" fontId="2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Body Fat %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noFill/>
            </a:ln>
          </c:spPr>
          <c:invertIfNegative val="1"/>
          <c:trendlin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numRef>
              <c:f>'Metabolic Analysis'!$A$15:$S$15</c:f>
              <c:numCache>
                <c:formatCode>General</c:formatCode>
                <c:ptCount val="19"/>
              </c:numCache>
            </c:numRef>
          </c:cat>
          <c:val>
            <c:numRef>
              <c:f>'Metabolic Analysis'!$A$17:$S$17</c:f>
              <c:numCache>
                <c:formatCode>0.00%</c:formatCode>
                <c:ptCount val="19"/>
                <c:pt idx="0" formatCode="General">
                  <c:v>0</c:v>
                </c:pt>
                <c:pt idx="1">
                  <c:v>0.19220000000000001</c:v>
                </c:pt>
                <c:pt idx="2">
                  <c:v>0.18479999999999999</c:v>
                </c:pt>
                <c:pt idx="3">
                  <c:v>0.17280000000000001</c:v>
                </c:pt>
                <c:pt idx="4">
                  <c:v>0.17680000000000001</c:v>
                </c:pt>
                <c:pt idx="5">
                  <c:v>0.18029999999999999</c:v>
                </c:pt>
                <c:pt idx="6">
                  <c:v>0.18479999999999999</c:v>
                </c:pt>
                <c:pt idx="7">
                  <c:v>0.19270000000000001</c:v>
                </c:pt>
                <c:pt idx="8">
                  <c:v>0.19939999999999999</c:v>
                </c:pt>
                <c:pt idx="9">
                  <c:v>0.21240000000000001</c:v>
                </c:pt>
                <c:pt idx="10">
                  <c:v>0.21460000000000001</c:v>
                </c:pt>
                <c:pt idx="11">
                  <c:v>0.20630000000000001</c:v>
                </c:pt>
                <c:pt idx="12">
                  <c:v>0.1968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EB5-794C-8036-9271126FD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1750572"/>
        <c:axId val="451441007"/>
      </c:barChart>
      <c:catAx>
        <c:axId val="20117505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451441007"/>
        <c:crosses val="autoZero"/>
        <c:auto val="1"/>
        <c:lblAlgn val="ctr"/>
        <c:lblOffset val="100"/>
        <c:noMultiLvlLbl val="1"/>
      </c:catAx>
      <c:valAx>
        <c:axId val="4514410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201175057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BodyWeight vs. Date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'Compliance Document'!$C$2</c:f>
              <c:strCache>
                <c:ptCount val="1"/>
                <c:pt idx="0">
                  <c:v>BodyWeight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cat>
            <c:numRef>
              <c:f>'Compliance Document'!$B$3:$B$21</c:f>
              <c:numCache>
                <c:formatCode>m/d/yyyy</c:formatCode>
                <c:ptCount val="19"/>
                <c:pt idx="0">
                  <c:v>46067</c:v>
                </c:pt>
                <c:pt idx="1">
                  <c:v>46068</c:v>
                </c:pt>
                <c:pt idx="2">
                  <c:v>46069</c:v>
                </c:pt>
                <c:pt idx="3">
                  <c:v>46070</c:v>
                </c:pt>
                <c:pt idx="4">
                  <c:v>46071</c:v>
                </c:pt>
                <c:pt idx="5">
                  <c:v>46072</c:v>
                </c:pt>
                <c:pt idx="6">
                  <c:v>46073</c:v>
                </c:pt>
                <c:pt idx="7">
                  <c:v>46074</c:v>
                </c:pt>
                <c:pt idx="8">
                  <c:v>46075</c:v>
                </c:pt>
                <c:pt idx="9">
                  <c:v>46076</c:v>
                </c:pt>
                <c:pt idx="10">
                  <c:v>46077</c:v>
                </c:pt>
                <c:pt idx="11">
                  <c:v>46078</c:v>
                </c:pt>
                <c:pt idx="12">
                  <c:v>46079</c:v>
                </c:pt>
                <c:pt idx="13">
                  <c:v>46080</c:v>
                </c:pt>
                <c:pt idx="14">
                  <c:v>46081</c:v>
                </c:pt>
                <c:pt idx="15">
                  <c:v>46082</c:v>
                </c:pt>
                <c:pt idx="16">
                  <c:v>46083</c:v>
                </c:pt>
                <c:pt idx="17">
                  <c:v>46084</c:v>
                </c:pt>
                <c:pt idx="18">
                  <c:v>46085</c:v>
                </c:pt>
              </c:numCache>
            </c:numRef>
          </c:cat>
          <c:val>
            <c:numRef>
              <c:f>'Compliance Document'!$C$3:$C$21</c:f>
              <c:numCache>
                <c:formatCode>General</c:formatCode>
                <c:ptCount val="19"/>
                <c:pt idx="0">
                  <c:v>70.8</c:v>
                </c:pt>
                <c:pt idx="1">
                  <c:v>71.2</c:v>
                </c:pt>
                <c:pt idx="2">
                  <c:v>71.400000000000006</c:v>
                </c:pt>
                <c:pt idx="3">
                  <c:v>71.3</c:v>
                </c:pt>
                <c:pt idx="4">
                  <c:v>70.8</c:v>
                </c:pt>
                <c:pt idx="5">
                  <c:v>70.5</c:v>
                </c:pt>
                <c:pt idx="6">
                  <c:v>71.2</c:v>
                </c:pt>
                <c:pt idx="7">
                  <c:v>70.900000000000006</c:v>
                </c:pt>
                <c:pt idx="8">
                  <c:v>70.8</c:v>
                </c:pt>
                <c:pt idx="9">
                  <c:v>70.900000000000006</c:v>
                </c:pt>
                <c:pt idx="10">
                  <c:v>71.099999999999994</c:v>
                </c:pt>
                <c:pt idx="11">
                  <c:v>71.2</c:v>
                </c:pt>
                <c:pt idx="12">
                  <c:v>71.099999999999994</c:v>
                </c:pt>
                <c:pt idx="13">
                  <c:v>71.3</c:v>
                </c:pt>
                <c:pt idx="14">
                  <c:v>70.900000000000006</c:v>
                </c:pt>
                <c:pt idx="15">
                  <c:v>71.2</c:v>
                </c:pt>
                <c:pt idx="16">
                  <c:v>71.400000000000006</c:v>
                </c:pt>
                <c:pt idx="17">
                  <c:v>71.3</c:v>
                </c:pt>
                <c:pt idx="18">
                  <c:v>71.7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992-494E-8CCE-9538EDB68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06342964"/>
        <c:axId val="1302675867"/>
      </c:barChart>
      <c:dateAx>
        <c:axId val="15063429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Date</a:t>
                </a:r>
              </a:p>
            </c:rich>
          </c:tx>
          <c:overlay val="0"/>
        </c:title>
        <c:numFmt formatCode="m/d/yyyy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302675867"/>
        <c:crosses val="autoZero"/>
        <c:auto val="1"/>
        <c:lblOffset val="100"/>
        <c:baseTimeUnit val="days"/>
      </c:dateAx>
      <c:valAx>
        <c:axId val="13026758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BodyWeight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50634296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Calories day before vs Date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'Compliance Document'!$D$2</c:f>
              <c:strCache>
                <c:ptCount val="1"/>
                <c:pt idx="0">
                  <c:v>Calories day before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'Compliance Document'!$B$3:$B$20</c:f>
              <c:numCache>
                <c:formatCode>m/d/yyyy</c:formatCode>
                <c:ptCount val="18"/>
                <c:pt idx="0">
                  <c:v>46067</c:v>
                </c:pt>
                <c:pt idx="1">
                  <c:v>46068</c:v>
                </c:pt>
                <c:pt idx="2">
                  <c:v>46069</c:v>
                </c:pt>
                <c:pt idx="3">
                  <c:v>46070</c:v>
                </c:pt>
                <c:pt idx="4">
                  <c:v>46071</c:v>
                </c:pt>
                <c:pt idx="5">
                  <c:v>46072</c:v>
                </c:pt>
                <c:pt idx="6">
                  <c:v>46073</c:v>
                </c:pt>
                <c:pt idx="7">
                  <c:v>46074</c:v>
                </c:pt>
                <c:pt idx="8">
                  <c:v>46075</c:v>
                </c:pt>
                <c:pt idx="9">
                  <c:v>46076</c:v>
                </c:pt>
                <c:pt idx="10">
                  <c:v>46077</c:v>
                </c:pt>
                <c:pt idx="11">
                  <c:v>46078</c:v>
                </c:pt>
                <c:pt idx="12">
                  <c:v>46079</c:v>
                </c:pt>
                <c:pt idx="13">
                  <c:v>46080</c:v>
                </c:pt>
                <c:pt idx="14">
                  <c:v>46081</c:v>
                </c:pt>
                <c:pt idx="15">
                  <c:v>46082</c:v>
                </c:pt>
                <c:pt idx="16">
                  <c:v>46083</c:v>
                </c:pt>
                <c:pt idx="17">
                  <c:v>46084</c:v>
                </c:pt>
              </c:numCache>
            </c:numRef>
          </c:cat>
          <c:val>
            <c:numRef>
              <c:f>'Compliance Document'!$D$3:$D$28</c:f>
              <c:numCache>
                <c:formatCode>#,##0</c:formatCode>
                <c:ptCount val="26"/>
                <c:pt idx="0">
                  <c:v>2942</c:v>
                </c:pt>
                <c:pt idx="1">
                  <c:v>2843</c:v>
                </c:pt>
                <c:pt idx="2">
                  <c:v>2847</c:v>
                </c:pt>
                <c:pt idx="3">
                  <c:v>2975</c:v>
                </c:pt>
                <c:pt idx="4">
                  <c:v>2829</c:v>
                </c:pt>
                <c:pt idx="5">
                  <c:v>2727</c:v>
                </c:pt>
                <c:pt idx="6">
                  <c:v>3067</c:v>
                </c:pt>
                <c:pt idx="7">
                  <c:v>2611</c:v>
                </c:pt>
                <c:pt idx="8">
                  <c:v>2549</c:v>
                </c:pt>
                <c:pt idx="9">
                  <c:v>2995</c:v>
                </c:pt>
                <c:pt idx="10">
                  <c:v>3219</c:v>
                </c:pt>
                <c:pt idx="11">
                  <c:v>3150</c:v>
                </c:pt>
                <c:pt idx="12">
                  <c:v>3046</c:v>
                </c:pt>
                <c:pt idx="13">
                  <c:v>3248</c:v>
                </c:pt>
                <c:pt idx="14">
                  <c:v>2900</c:v>
                </c:pt>
                <c:pt idx="15">
                  <c:v>3012</c:v>
                </c:pt>
                <c:pt idx="16">
                  <c:v>2850</c:v>
                </c:pt>
                <c:pt idx="17">
                  <c:v>3041</c:v>
                </c:pt>
                <c:pt idx="18">
                  <c:v>3011</c:v>
                </c:pt>
                <c:pt idx="19">
                  <c:v>3160</c:v>
                </c:pt>
                <c:pt idx="20">
                  <c:v>3191</c:v>
                </c:pt>
                <c:pt idx="21">
                  <c:v>3424</c:v>
                </c:pt>
                <c:pt idx="22">
                  <c:v>3343</c:v>
                </c:pt>
                <c:pt idx="23" formatCode="General">
                  <c:v>2650</c:v>
                </c:pt>
                <c:pt idx="24" formatCode="General">
                  <c:v>3481</c:v>
                </c:pt>
                <c:pt idx="25" formatCode="General">
                  <c:v>3320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FA-AB4E-9FEA-BD117F422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5248476"/>
        <c:axId val="977781025"/>
      </c:lineChart>
      <c:dateAx>
        <c:axId val="5452484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Date</a:t>
                </a:r>
              </a:p>
            </c:rich>
          </c:tx>
          <c:overlay val="0"/>
        </c:title>
        <c:numFmt formatCode="m/d/yyyy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977781025"/>
        <c:crosses val="autoZero"/>
        <c:auto val="1"/>
        <c:lblOffset val="100"/>
        <c:baseTimeUnit val="days"/>
      </c:dateAx>
      <c:valAx>
        <c:axId val="9777810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Calories day before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54524847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Steps day before vs Date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'Compliance Document'!$E$2</c:f>
              <c:strCache>
                <c:ptCount val="1"/>
                <c:pt idx="0">
                  <c:v>Steps day before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'Compliance Document'!$B$3:$B$20</c:f>
              <c:numCache>
                <c:formatCode>m/d/yyyy</c:formatCode>
                <c:ptCount val="18"/>
                <c:pt idx="0">
                  <c:v>46067</c:v>
                </c:pt>
                <c:pt idx="1">
                  <c:v>46068</c:v>
                </c:pt>
                <c:pt idx="2">
                  <c:v>46069</c:v>
                </c:pt>
                <c:pt idx="3">
                  <c:v>46070</c:v>
                </c:pt>
                <c:pt idx="4">
                  <c:v>46071</c:v>
                </c:pt>
                <c:pt idx="5">
                  <c:v>46072</c:v>
                </c:pt>
                <c:pt idx="6">
                  <c:v>46073</c:v>
                </c:pt>
                <c:pt idx="7">
                  <c:v>46074</c:v>
                </c:pt>
                <c:pt idx="8">
                  <c:v>46075</c:v>
                </c:pt>
                <c:pt idx="9">
                  <c:v>46076</c:v>
                </c:pt>
                <c:pt idx="10">
                  <c:v>46077</c:v>
                </c:pt>
                <c:pt idx="11">
                  <c:v>46078</c:v>
                </c:pt>
                <c:pt idx="12">
                  <c:v>46079</c:v>
                </c:pt>
                <c:pt idx="13">
                  <c:v>46080</c:v>
                </c:pt>
                <c:pt idx="14">
                  <c:v>46081</c:v>
                </c:pt>
                <c:pt idx="15">
                  <c:v>46082</c:v>
                </c:pt>
                <c:pt idx="16">
                  <c:v>46083</c:v>
                </c:pt>
                <c:pt idx="17">
                  <c:v>46084</c:v>
                </c:pt>
              </c:numCache>
            </c:numRef>
          </c:cat>
          <c:val>
            <c:numRef>
              <c:f>'Compliance Document'!$E$3:$E$51</c:f>
              <c:numCache>
                <c:formatCode>#,##0</c:formatCode>
                <c:ptCount val="49"/>
                <c:pt idx="0">
                  <c:v>10594</c:v>
                </c:pt>
                <c:pt idx="1">
                  <c:v>13106</c:v>
                </c:pt>
                <c:pt idx="2">
                  <c:v>8684</c:v>
                </c:pt>
                <c:pt idx="3">
                  <c:v>10931</c:v>
                </c:pt>
                <c:pt idx="4">
                  <c:v>13548</c:v>
                </c:pt>
                <c:pt idx="5">
                  <c:v>13802</c:v>
                </c:pt>
                <c:pt idx="6">
                  <c:v>14028</c:v>
                </c:pt>
                <c:pt idx="7">
                  <c:v>5200</c:v>
                </c:pt>
                <c:pt idx="8">
                  <c:v>15109</c:v>
                </c:pt>
                <c:pt idx="9">
                  <c:v>10799</c:v>
                </c:pt>
                <c:pt idx="10">
                  <c:v>9939</c:v>
                </c:pt>
                <c:pt idx="11">
                  <c:v>14592</c:v>
                </c:pt>
                <c:pt idx="12">
                  <c:v>13327</c:v>
                </c:pt>
                <c:pt idx="13">
                  <c:v>9127</c:v>
                </c:pt>
                <c:pt idx="14">
                  <c:v>5998</c:v>
                </c:pt>
                <c:pt idx="15">
                  <c:v>16465</c:v>
                </c:pt>
                <c:pt idx="16">
                  <c:v>18777</c:v>
                </c:pt>
                <c:pt idx="17">
                  <c:v>12396</c:v>
                </c:pt>
                <c:pt idx="18">
                  <c:v>9317</c:v>
                </c:pt>
                <c:pt idx="19">
                  <c:v>10229</c:v>
                </c:pt>
                <c:pt idx="20">
                  <c:v>11341</c:v>
                </c:pt>
                <c:pt idx="21">
                  <c:v>11412</c:v>
                </c:pt>
                <c:pt idx="22">
                  <c:v>9548</c:v>
                </c:pt>
                <c:pt idx="23">
                  <c:v>4510</c:v>
                </c:pt>
                <c:pt idx="24">
                  <c:v>9004</c:v>
                </c:pt>
                <c:pt idx="25">
                  <c:v>14335</c:v>
                </c:pt>
                <c:pt idx="26">
                  <c:v>10808</c:v>
                </c:pt>
                <c:pt idx="27">
                  <c:v>14417</c:v>
                </c:pt>
                <c:pt idx="28">
                  <c:v>8907</c:v>
                </c:pt>
                <c:pt idx="29">
                  <c:v>14876</c:v>
                </c:pt>
                <c:pt idx="30">
                  <c:v>11815</c:v>
                </c:pt>
                <c:pt idx="31">
                  <c:v>10642</c:v>
                </c:pt>
                <c:pt idx="32">
                  <c:v>14169</c:v>
                </c:pt>
                <c:pt idx="33">
                  <c:v>8028</c:v>
                </c:pt>
                <c:pt idx="34" formatCode="General">
                  <c:v>13882</c:v>
                </c:pt>
                <c:pt idx="35">
                  <c:v>9415</c:v>
                </c:pt>
                <c:pt idx="36">
                  <c:v>12006</c:v>
                </c:pt>
                <c:pt idx="37">
                  <c:v>11916</c:v>
                </c:pt>
                <c:pt idx="38">
                  <c:v>15239</c:v>
                </c:pt>
                <c:pt idx="39">
                  <c:v>10567</c:v>
                </c:pt>
                <c:pt idx="40">
                  <c:v>11421</c:v>
                </c:pt>
                <c:pt idx="41">
                  <c:v>10828</c:v>
                </c:pt>
                <c:pt idx="42">
                  <c:v>5709</c:v>
                </c:pt>
                <c:pt idx="43">
                  <c:v>9701</c:v>
                </c:pt>
                <c:pt idx="44">
                  <c:v>8965</c:v>
                </c:pt>
                <c:pt idx="45">
                  <c:v>10019</c:v>
                </c:pt>
                <c:pt idx="46">
                  <c:v>11181</c:v>
                </c:pt>
                <c:pt idx="47">
                  <c:v>13313</c:v>
                </c:pt>
                <c:pt idx="48">
                  <c:v>13420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23-7E40-A4A5-7635C081D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9431387"/>
        <c:axId val="798827287"/>
      </c:lineChart>
      <c:dateAx>
        <c:axId val="20594313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Date</a:t>
                </a:r>
              </a:p>
            </c:rich>
          </c:tx>
          <c:overlay val="0"/>
        </c:title>
        <c:numFmt formatCode="m/d/yyyy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798827287"/>
        <c:crosses val="autoZero"/>
        <c:auto val="1"/>
        <c:lblOffset val="100"/>
        <c:baseTimeUnit val="days"/>
      </c:dateAx>
      <c:valAx>
        <c:axId val="7988272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Steps day before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205943138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Hours Sleep Day before vs Date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'Compliance Document'!$F$2</c:f>
              <c:strCache>
                <c:ptCount val="1"/>
                <c:pt idx="0">
                  <c:v>Hours Sleep Day before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'Compliance Document'!$B$3:$B$20</c:f>
              <c:numCache>
                <c:formatCode>m/d/yyyy</c:formatCode>
                <c:ptCount val="18"/>
                <c:pt idx="0">
                  <c:v>46067</c:v>
                </c:pt>
                <c:pt idx="1">
                  <c:v>46068</c:v>
                </c:pt>
                <c:pt idx="2">
                  <c:v>46069</c:v>
                </c:pt>
                <c:pt idx="3">
                  <c:v>46070</c:v>
                </c:pt>
                <c:pt idx="4">
                  <c:v>46071</c:v>
                </c:pt>
                <c:pt idx="5">
                  <c:v>46072</c:v>
                </c:pt>
                <c:pt idx="6">
                  <c:v>46073</c:v>
                </c:pt>
                <c:pt idx="7">
                  <c:v>46074</c:v>
                </c:pt>
                <c:pt idx="8">
                  <c:v>46075</c:v>
                </c:pt>
                <c:pt idx="9">
                  <c:v>46076</c:v>
                </c:pt>
                <c:pt idx="10">
                  <c:v>46077</c:v>
                </c:pt>
                <c:pt idx="11">
                  <c:v>46078</c:v>
                </c:pt>
                <c:pt idx="12">
                  <c:v>46079</c:v>
                </c:pt>
                <c:pt idx="13">
                  <c:v>46080</c:v>
                </c:pt>
                <c:pt idx="14">
                  <c:v>46081</c:v>
                </c:pt>
                <c:pt idx="15">
                  <c:v>46082</c:v>
                </c:pt>
                <c:pt idx="16">
                  <c:v>46083</c:v>
                </c:pt>
                <c:pt idx="17">
                  <c:v>46084</c:v>
                </c:pt>
              </c:numCache>
            </c:numRef>
          </c:cat>
          <c:val>
            <c:numRef>
              <c:f>'Compliance Document'!$F$3:$F$30</c:f>
              <c:numCache>
                <c:formatCode>General</c:formatCode>
                <c:ptCount val="28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7.5</c:v>
                </c:pt>
                <c:pt idx="5">
                  <c:v>7.5</c:v>
                </c:pt>
                <c:pt idx="6">
                  <c:v>7.5</c:v>
                </c:pt>
                <c:pt idx="7">
                  <c:v>8</c:v>
                </c:pt>
                <c:pt idx="8">
                  <c:v>7</c:v>
                </c:pt>
                <c:pt idx="9">
                  <c:v>7</c:v>
                </c:pt>
                <c:pt idx="10">
                  <c:v>8</c:v>
                </c:pt>
                <c:pt idx="11">
                  <c:v>8</c:v>
                </c:pt>
                <c:pt idx="12">
                  <c:v>7</c:v>
                </c:pt>
                <c:pt idx="13">
                  <c:v>6</c:v>
                </c:pt>
                <c:pt idx="14">
                  <c:v>7.5</c:v>
                </c:pt>
                <c:pt idx="15">
                  <c:v>8</c:v>
                </c:pt>
                <c:pt idx="16">
                  <c:v>7.5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7</c:v>
                </c:pt>
                <c:pt idx="21">
                  <c:v>7</c:v>
                </c:pt>
                <c:pt idx="22">
                  <c:v>8</c:v>
                </c:pt>
                <c:pt idx="23">
                  <c:v>7.5</c:v>
                </c:pt>
                <c:pt idx="24">
                  <c:v>7.5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35-EC49-BD6A-6CD3AE3CF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2073268"/>
        <c:axId val="2025103543"/>
      </c:lineChart>
      <c:dateAx>
        <c:axId val="3220732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Date</a:t>
                </a:r>
              </a:p>
            </c:rich>
          </c:tx>
          <c:overlay val="0"/>
        </c:title>
        <c:numFmt formatCode="m/d/yyyy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2025103543"/>
        <c:crosses val="autoZero"/>
        <c:auto val="1"/>
        <c:lblOffset val="100"/>
        <c:baseTimeUnit val="days"/>
      </c:dateAx>
      <c:valAx>
        <c:axId val="20251035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Hours Sleep Day before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32207326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19050</xdr:colOff>
      <xdr:row>22</xdr:row>
      <xdr:rowOff>114300</xdr:rowOff>
    </xdr:from>
    <xdr:ext cx="3933825" cy="2466975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419100</xdr:colOff>
      <xdr:row>1</xdr:row>
      <xdr:rowOff>19050</xdr:rowOff>
    </xdr:from>
    <xdr:ext cx="3048000" cy="1895475"/>
    <xdr:graphicFrame macro="">
      <xdr:nvGraphicFramePr>
        <xdr:cNvPr id="2" name="Chart 1" title="BodyWeight vs. Dat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419100</xdr:colOff>
      <xdr:row>10</xdr:row>
      <xdr:rowOff>57150</xdr:rowOff>
    </xdr:from>
    <xdr:ext cx="3048000" cy="1895475"/>
    <xdr:graphicFrame macro="">
      <xdr:nvGraphicFramePr>
        <xdr:cNvPr id="3" name="Chart 3" titl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9</xdr:col>
      <xdr:colOff>800100</xdr:colOff>
      <xdr:row>10</xdr:row>
      <xdr:rowOff>57150</xdr:rowOff>
    </xdr:from>
    <xdr:ext cx="3048000" cy="1895475"/>
    <xdr:graphicFrame macro="">
      <xdr:nvGraphicFramePr>
        <xdr:cNvPr id="4" name="Chart 4" title="Chart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9</xdr:col>
      <xdr:colOff>800100</xdr:colOff>
      <xdr:row>1</xdr:row>
      <xdr:rowOff>19050</xdr:rowOff>
    </xdr:from>
    <xdr:ext cx="3086100" cy="1895475"/>
    <xdr:graphicFrame macro="">
      <xdr:nvGraphicFramePr>
        <xdr:cNvPr id="5" name="Chart 5" title="Chart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2:B59"/>
  <sheetViews>
    <sheetView tabSelected="1" workbookViewId="0">
      <selection activeCell="I11" sqref="I11"/>
    </sheetView>
  </sheetViews>
  <sheetFormatPr baseColWidth="10" defaultColWidth="12.6640625" defaultRowHeight="15.75" customHeight="1" x14ac:dyDescent="0.15"/>
  <cols>
    <col min="2" max="2" width="31.6640625" customWidth="1"/>
  </cols>
  <sheetData>
    <row r="2" spans="1:2" ht="15.75" customHeight="1" x14ac:dyDescent="0.15">
      <c r="A2" s="3" t="s">
        <v>1</v>
      </c>
      <c r="B2" s="4" t="s">
        <v>4</v>
      </c>
    </row>
    <row r="3" spans="1:2" ht="15.75" customHeight="1" x14ac:dyDescent="0.15">
      <c r="A3" s="3" t="s">
        <v>5</v>
      </c>
      <c r="B3" s="4">
        <v>34</v>
      </c>
    </row>
    <row r="4" spans="1:2" ht="15.75" customHeight="1" x14ac:dyDescent="0.15">
      <c r="A4" s="3" t="s">
        <v>6</v>
      </c>
      <c r="B4" s="4" t="s">
        <v>7</v>
      </c>
    </row>
    <row r="5" spans="1:2" ht="15.75" customHeight="1" x14ac:dyDescent="0.15">
      <c r="A5" s="3" t="s">
        <v>8</v>
      </c>
      <c r="B5" s="6" t="s">
        <v>9</v>
      </c>
    </row>
    <row r="6" spans="1:2" ht="15.75" customHeight="1" x14ac:dyDescent="0.15">
      <c r="A6" s="3" t="s">
        <v>11</v>
      </c>
      <c r="B6" s="4" t="s">
        <v>12</v>
      </c>
    </row>
    <row r="7" spans="1:2" ht="15.75" customHeight="1" x14ac:dyDescent="0.15">
      <c r="A7" s="3" t="s">
        <v>14</v>
      </c>
      <c r="B7" s="6" t="s">
        <v>15</v>
      </c>
    </row>
    <row r="59" spans="2:2" ht="13" x14ac:dyDescent="0.15">
      <c r="B59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86E8"/>
    <outlinePr summaryBelow="0" summaryRight="0"/>
  </sheetPr>
  <dimension ref="A2:Z41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 x14ac:dyDescent="0.15"/>
  <cols>
    <col min="2" max="2" width="11.6640625" customWidth="1"/>
  </cols>
  <sheetData>
    <row r="2" spans="1:26" ht="15.75" customHeight="1" x14ac:dyDescent="0.15">
      <c r="A2" s="94"/>
      <c r="B2" s="95">
        <v>46358</v>
      </c>
      <c r="C2" s="96" t="s">
        <v>236</v>
      </c>
      <c r="D2" s="95">
        <v>46145</v>
      </c>
      <c r="E2" s="96" t="s">
        <v>237</v>
      </c>
      <c r="F2" s="95">
        <v>46057</v>
      </c>
      <c r="G2" s="96" t="s">
        <v>238</v>
      </c>
      <c r="H2" s="96" t="s">
        <v>239</v>
      </c>
      <c r="I2" s="96" t="s">
        <v>240</v>
      </c>
      <c r="J2" s="95">
        <v>46060</v>
      </c>
      <c r="K2" s="96" t="s">
        <v>241</v>
      </c>
      <c r="L2" s="96" t="s">
        <v>242</v>
      </c>
      <c r="M2" s="96" t="s">
        <v>49</v>
      </c>
      <c r="N2" s="95"/>
      <c r="O2" s="96"/>
      <c r="P2" s="96"/>
      <c r="Q2" s="95"/>
      <c r="R2" s="96"/>
      <c r="S2" s="96"/>
      <c r="T2" s="96"/>
      <c r="U2" s="96"/>
      <c r="V2" s="96"/>
      <c r="W2" s="95"/>
      <c r="X2" s="95"/>
      <c r="Y2" s="96"/>
      <c r="Z2" s="96"/>
    </row>
    <row r="3" spans="1:26" ht="15.75" customHeight="1" x14ac:dyDescent="0.15">
      <c r="A3" s="3" t="s">
        <v>243</v>
      </c>
      <c r="B3" s="6">
        <v>5</v>
      </c>
      <c r="C3" s="97">
        <v>5</v>
      </c>
      <c r="D3" s="97">
        <v>5</v>
      </c>
      <c r="E3" s="97">
        <v>6</v>
      </c>
      <c r="F3" s="83">
        <v>6</v>
      </c>
      <c r="G3" s="97">
        <v>7</v>
      </c>
      <c r="H3" s="98">
        <v>7.4</v>
      </c>
      <c r="I3" s="98">
        <v>8</v>
      </c>
      <c r="J3" s="99">
        <v>8.4</v>
      </c>
      <c r="K3" s="99">
        <v>9</v>
      </c>
      <c r="L3" s="99">
        <v>8</v>
      </c>
      <c r="M3" s="99">
        <v>8</v>
      </c>
      <c r="N3" s="99"/>
      <c r="O3" s="99"/>
      <c r="P3" s="99"/>
      <c r="Q3" s="98"/>
      <c r="R3" s="99"/>
      <c r="S3" s="99"/>
      <c r="T3" s="99"/>
      <c r="U3" s="99"/>
      <c r="V3" s="99"/>
      <c r="W3" s="99"/>
      <c r="X3" s="99"/>
      <c r="Y3" s="99"/>
      <c r="Z3" s="99"/>
    </row>
    <row r="4" spans="1:26" ht="15.75" customHeight="1" x14ac:dyDescent="0.15">
      <c r="A4" s="3" t="s">
        <v>244</v>
      </c>
      <c r="B4" s="6">
        <v>6</v>
      </c>
      <c r="C4" s="97">
        <v>5.6</v>
      </c>
      <c r="D4" s="97">
        <v>4.5999999999999996</v>
      </c>
      <c r="E4" s="97">
        <v>5</v>
      </c>
      <c r="F4" s="83">
        <v>4.5999999999999996</v>
      </c>
      <c r="G4" s="97">
        <v>5</v>
      </c>
      <c r="H4" s="98">
        <v>5.8</v>
      </c>
      <c r="I4" s="98">
        <v>5.8</v>
      </c>
      <c r="J4" s="99">
        <v>6.4</v>
      </c>
      <c r="K4" s="99">
        <v>6.6</v>
      </c>
      <c r="L4" s="99">
        <v>5</v>
      </c>
      <c r="M4" s="99">
        <v>4.8</v>
      </c>
      <c r="N4" s="99"/>
      <c r="O4" s="99"/>
      <c r="P4" s="99"/>
      <c r="Q4" s="98"/>
      <c r="R4" s="99"/>
      <c r="S4" s="99"/>
      <c r="T4" s="99"/>
      <c r="U4" s="99"/>
      <c r="V4" s="99"/>
      <c r="W4" s="99"/>
      <c r="X4" s="99"/>
      <c r="Y4" s="99"/>
      <c r="Z4" s="99"/>
    </row>
    <row r="5" spans="1:26" ht="15.75" customHeight="1" x14ac:dyDescent="0.15">
      <c r="A5" s="3" t="s">
        <v>245</v>
      </c>
      <c r="B5" s="6">
        <v>4</v>
      </c>
      <c r="C5" s="6">
        <v>3.8</v>
      </c>
      <c r="D5" s="97">
        <v>3.8</v>
      </c>
      <c r="E5" s="97">
        <v>4</v>
      </c>
      <c r="F5" s="83">
        <v>4</v>
      </c>
      <c r="G5" s="97">
        <v>4</v>
      </c>
      <c r="H5" s="98">
        <v>4</v>
      </c>
      <c r="I5" s="98">
        <v>4</v>
      </c>
      <c r="J5" s="99">
        <v>4</v>
      </c>
      <c r="K5" s="99">
        <v>4</v>
      </c>
      <c r="L5" s="99">
        <v>3.8</v>
      </c>
      <c r="M5" s="99">
        <v>3.6</v>
      </c>
      <c r="N5" s="99"/>
      <c r="O5" s="99"/>
      <c r="P5" s="99"/>
      <c r="Q5" s="98"/>
      <c r="R5" s="99"/>
      <c r="S5" s="99"/>
      <c r="T5" s="99"/>
      <c r="U5" s="99"/>
      <c r="V5" s="99"/>
      <c r="W5" s="99"/>
      <c r="X5" s="99"/>
      <c r="Y5" s="99"/>
      <c r="Z5" s="99"/>
    </row>
    <row r="6" spans="1:26" ht="15.75" customHeight="1" x14ac:dyDescent="0.15">
      <c r="A6" s="3" t="s">
        <v>246</v>
      </c>
      <c r="B6" s="6">
        <v>20</v>
      </c>
      <c r="C6" s="6">
        <v>19.2</v>
      </c>
      <c r="D6" s="97">
        <v>16</v>
      </c>
      <c r="E6" s="97">
        <v>16</v>
      </c>
      <c r="F6" s="83">
        <v>17</v>
      </c>
      <c r="G6" s="97">
        <v>17</v>
      </c>
      <c r="H6" s="98">
        <v>18</v>
      </c>
      <c r="I6" s="98">
        <v>18.399999999999999</v>
      </c>
      <c r="J6" s="99">
        <v>21</v>
      </c>
      <c r="K6" s="99">
        <v>21</v>
      </c>
      <c r="L6" s="99">
        <v>19</v>
      </c>
      <c r="M6" s="99">
        <v>18.600000000000001</v>
      </c>
      <c r="N6" s="99"/>
      <c r="O6" s="99"/>
      <c r="P6" s="99"/>
      <c r="Q6" s="98"/>
      <c r="R6" s="99"/>
      <c r="S6" s="99"/>
      <c r="T6" s="99"/>
      <c r="U6" s="99"/>
      <c r="V6" s="99"/>
      <c r="W6" s="99"/>
      <c r="X6" s="99"/>
      <c r="Y6" s="99"/>
      <c r="Z6" s="99"/>
    </row>
    <row r="7" spans="1:26" ht="15.75" customHeight="1" x14ac:dyDescent="0.15">
      <c r="A7" s="3" t="s">
        <v>247</v>
      </c>
      <c r="B7" s="6">
        <v>20</v>
      </c>
      <c r="C7" s="6">
        <v>19</v>
      </c>
      <c r="D7" s="97">
        <v>17</v>
      </c>
      <c r="E7" s="97">
        <v>17</v>
      </c>
      <c r="F7" s="83">
        <v>18</v>
      </c>
      <c r="G7" s="97">
        <v>18</v>
      </c>
      <c r="H7" s="98">
        <v>18.399999999999999</v>
      </c>
      <c r="I7" s="98">
        <v>19</v>
      </c>
      <c r="J7" s="99">
        <v>19</v>
      </c>
      <c r="K7" s="99">
        <v>20</v>
      </c>
      <c r="L7" s="99">
        <v>19.600000000000001</v>
      </c>
      <c r="M7" s="99">
        <v>19</v>
      </c>
      <c r="N7" s="99"/>
      <c r="O7" s="99"/>
      <c r="P7" s="99"/>
      <c r="Q7" s="98"/>
      <c r="R7" s="99"/>
      <c r="S7" s="99"/>
      <c r="T7" s="99"/>
      <c r="U7" s="99"/>
      <c r="V7" s="99"/>
      <c r="W7" s="99"/>
      <c r="X7" s="99"/>
      <c r="Y7" s="99"/>
      <c r="Z7" s="99"/>
    </row>
    <row r="8" spans="1:26" ht="15.75" customHeight="1" x14ac:dyDescent="0.15">
      <c r="A8" s="3" t="s">
        <v>248</v>
      </c>
      <c r="B8" s="6">
        <v>16</v>
      </c>
      <c r="C8" s="6">
        <v>15</v>
      </c>
      <c r="D8" s="97">
        <v>14.2</v>
      </c>
      <c r="E8" s="97">
        <v>14</v>
      </c>
      <c r="F8" s="83">
        <v>14</v>
      </c>
      <c r="G8" s="97">
        <v>14</v>
      </c>
      <c r="H8" s="98">
        <v>15</v>
      </c>
      <c r="I8" s="98">
        <v>15.2</v>
      </c>
      <c r="J8" s="99">
        <v>16</v>
      </c>
      <c r="K8" s="99">
        <v>16</v>
      </c>
      <c r="L8" s="99">
        <v>15</v>
      </c>
      <c r="M8" s="99">
        <v>14.2</v>
      </c>
      <c r="N8" s="99"/>
      <c r="O8" s="99"/>
      <c r="P8" s="99"/>
      <c r="Q8" s="98"/>
      <c r="R8" s="99"/>
      <c r="S8" s="99"/>
      <c r="T8" s="99"/>
      <c r="U8" s="99"/>
      <c r="V8" s="99"/>
      <c r="W8" s="99"/>
      <c r="X8" s="99"/>
      <c r="Y8" s="99"/>
      <c r="Z8" s="99"/>
    </row>
    <row r="9" spans="1:26" ht="15.75" customHeight="1" x14ac:dyDescent="0.15">
      <c r="A9" s="3" t="s">
        <v>249</v>
      </c>
      <c r="B9" s="6">
        <v>29</v>
      </c>
      <c r="C9" s="6">
        <v>28</v>
      </c>
      <c r="D9" s="97">
        <v>26</v>
      </c>
      <c r="E9" s="97">
        <v>27</v>
      </c>
      <c r="F9" s="83">
        <v>27.6</v>
      </c>
      <c r="G9" s="97">
        <v>29</v>
      </c>
      <c r="H9" s="98">
        <v>31</v>
      </c>
      <c r="I9" s="98">
        <v>31</v>
      </c>
      <c r="J9" s="99">
        <v>35</v>
      </c>
      <c r="K9" s="99">
        <v>35.4</v>
      </c>
      <c r="L9" s="99">
        <v>33.799999999999997</v>
      </c>
      <c r="M9" s="99">
        <v>32.799999999999997</v>
      </c>
      <c r="N9" s="99"/>
      <c r="O9" s="99"/>
      <c r="P9" s="99"/>
      <c r="Q9" s="98"/>
      <c r="R9" s="99"/>
      <c r="S9" s="99"/>
      <c r="T9" s="99"/>
      <c r="U9" s="99"/>
      <c r="V9" s="99"/>
      <c r="W9" s="99"/>
      <c r="X9" s="99"/>
      <c r="Y9" s="99"/>
      <c r="Z9" s="99"/>
    </row>
    <row r="10" spans="1:26" ht="15.75" customHeight="1" x14ac:dyDescent="0.15">
      <c r="A10" s="3" t="s">
        <v>250</v>
      </c>
      <c r="B10" s="6">
        <v>29.4</v>
      </c>
      <c r="C10" s="6">
        <v>28</v>
      </c>
      <c r="D10" s="97">
        <v>28</v>
      </c>
      <c r="E10" s="97">
        <v>30</v>
      </c>
      <c r="F10" s="83">
        <v>30</v>
      </c>
      <c r="G10" s="97">
        <v>30.4</v>
      </c>
      <c r="H10" s="98">
        <v>31</v>
      </c>
      <c r="I10" s="98">
        <v>34</v>
      </c>
      <c r="J10" s="99">
        <v>36</v>
      </c>
      <c r="K10" s="99">
        <v>36.4</v>
      </c>
      <c r="L10" s="99">
        <v>35</v>
      </c>
      <c r="M10" s="99">
        <v>34</v>
      </c>
      <c r="N10" s="99"/>
      <c r="O10" s="99"/>
      <c r="P10" s="99"/>
      <c r="Q10" s="98"/>
      <c r="R10" s="99"/>
      <c r="S10" s="99"/>
      <c r="T10" s="99"/>
      <c r="U10" s="99"/>
      <c r="V10" s="99"/>
      <c r="W10" s="99"/>
      <c r="X10" s="99"/>
      <c r="Y10" s="99"/>
      <c r="Z10" s="99"/>
    </row>
    <row r="11" spans="1:26" ht="15.75" customHeight="1" x14ac:dyDescent="0.15">
      <c r="A11" s="3" t="s">
        <v>251</v>
      </c>
      <c r="B11" s="6">
        <v>11.6</v>
      </c>
      <c r="C11" s="6">
        <v>11.4</v>
      </c>
      <c r="D11" s="97">
        <v>10.4</v>
      </c>
      <c r="E11" s="97">
        <v>10.4</v>
      </c>
      <c r="F11" s="83">
        <v>10.4</v>
      </c>
      <c r="G11" s="97">
        <v>12</v>
      </c>
      <c r="H11" s="98">
        <v>13</v>
      </c>
      <c r="I11" s="98">
        <v>14</v>
      </c>
      <c r="J11" s="99">
        <v>15</v>
      </c>
      <c r="K11" s="99">
        <v>15</v>
      </c>
      <c r="L11" s="99">
        <v>14.6</v>
      </c>
      <c r="M11" s="99">
        <v>11.4</v>
      </c>
      <c r="N11" s="99"/>
      <c r="O11" s="99"/>
      <c r="P11" s="99"/>
      <c r="Q11" s="98"/>
      <c r="R11" s="99"/>
      <c r="S11" s="99"/>
      <c r="T11" s="99"/>
      <c r="U11" s="99"/>
      <c r="V11" s="99"/>
      <c r="W11" s="99"/>
      <c r="X11" s="99"/>
      <c r="Y11" s="99"/>
      <c r="Z11" s="99"/>
    </row>
    <row r="12" spans="1:26" ht="15.75" customHeight="1" x14ac:dyDescent="0.15">
      <c r="A12" s="3" t="s">
        <v>252</v>
      </c>
      <c r="B12" s="6">
        <v>20</v>
      </c>
      <c r="C12" s="97">
        <v>19</v>
      </c>
      <c r="D12" s="97">
        <v>18</v>
      </c>
      <c r="E12" s="97">
        <v>19</v>
      </c>
      <c r="F12" s="97">
        <v>19</v>
      </c>
      <c r="G12" s="97">
        <v>20</v>
      </c>
      <c r="H12" s="98">
        <v>21</v>
      </c>
      <c r="I12" s="98">
        <v>22</v>
      </c>
      <c r="J12" s="99">
        <v>22</v>
      </c>
      <c r="K12" s="99">
        <v>23</v>
      </c>
      <c r="L12" s="99">
        <v>22</v>
      </c>
      <c r="M12" s="99">
        <v>21</v>
      </c>
      <c r="N12" s="99"/>
      <c r="O12" s="99"/>
      <c r="P12" s="99"/>
      <c r="Q12" s="98"/>
      <c r="R12" s="99"/>
      <c r="S12" s="99"/>
      <c r="T12" s="99"/>
      <c r="U12" s="99"/>
      <c r="V12" s="99"/>
      <c r="W12" s="99"/>
      <c r="X12" s="99"/>
      <c r="Y12" s="99"/>
      <c r="Z12" s="99"/>
    </row>
    <row r="13" spans="1:26" ht="15.75" customHeight="1" x14ac:dyDescent="0.15">
      <c r="A13" s="3" t="s">
        <v>253</v>
      </c>
      <c r="B13" s="6">
        <v>5.8</v>
      </c>
      <c r="C13" s="97">
        <v>5.2</v>
      </c>
      <c r="D13" s="97">
        <v>5</v>
      </c>
      <c r="E13" s="97">
        <v>5.2</v>
      </c>
      <c r="F13" s="97">
        <v>5.2</v>
      </c>
      <c r="G13" s="97">
        <v>5.2</v>
      </c>
      <c r="H13" s="98">
        <v>5.4</v>
      </c>
      <c r="I13" s="98">
        <v>5.4</v>
      </c>
      <c r="J13" s="99">
        <v>6</v>
      </c>
      <c r="K13" s="99">
        <v>6.8</v>
      </c>
      <c r="L13" s="99">
        <v>6</v>
      </c>
      <c r="M13" s="99">
        <v>6</v>
      </c>
      <c r="N13" s="99"/>
      <c r="O13" s="99"/>
      <c r="P13" s="99"/>
      <c r="Q13" s="98"/>
      <c r="R13" s="99"/>
      <c r="S13" s="99"/>
      <c r="T13" s="99"/>
      <c r="U13" s="99"/>
      <c r="V13" s="99"/>
      <c r="W13" s="99"/>
      <c r="X13" s="99"/>
      <c r="Y13" s="99"/>
      <c r="Z13" s="99"/>
    </row>
    <row r="14" spans="1:26" ht="15.75" customHeight="1" x14ac:dyDescent="0.15">
      <c r="A14" s="3" t="s">
        <v>254</v>
      </c>
      <c r="B14" s="6">
        <v>6.8</v>
      </c>
      <c r="C14" s="97">
        <v>6</v>
      </c>
      <c r="D14" s="97">
        <v>6</v>
      </c>
      <c r="E14" s="97">
        <v>6.4</v>
      </c>
      <c r="F14" s="97">
        <v>6.4</v>
      </c>
      <c r="G14" s="97">
        <v>7</v>
      </c>
      <c r="H14" s="98">
        <v>7.8</v>
      </c>
      <c r="I14" s="98">
        <v>8</v>
      </c>
      <c r="J14" s="99">
        <v>9</v>
      </c>
      <c r="K14" s="99">
        <v>9</v>
      </c>
      <c r="L14" s="99">
        <v>7.4</v>
      </c>
      <c r="M14" s="99">
        <v>7.4</v>
      </c>
      <c r="N14" s="99"/>
      <c r="O14" s="99"/>
      <c r="P14" s="99"/>
      <c r="Q14" s="98"/>
      <c r="R14" s="99"/>
      <c r="S14" s="99"/>
      <c r="T14" s="99"/>
      <c r="U14" s="99"/>
      <c r="V14" s="99"/>
      <c r="W14" s="99"/>
      <c r="X14" s="99"/>
      <c r="Y14" s="99"/>
      <c r="Z14" s="99"/>
    </row>
    <row r="15" spans="1:26" ht="15.75" customHeight="1" x14ac:dyDescent="0.15">
      <c r="A15" s="101"/>
      <c r="B15" s="102"/>
      <c r="C15" s="103"/>
      <c r="D15" s="103"/>
      <c r="E15" s="103"/>
      <c r="F15" s="104"/>
      <c r="G15" s="105"/>
      <c r="H15" s="106"/>
      <c r="I15" s="10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5.75" customHeight="1" x14ac:dyDescent="0.15">
      <c r="A16" s="3" t="s">
        <v>255</v>
      </c>
      <c r="B16" s="97" t="s">
        <v>256</v>
      </c>
      <c r="C16" s="97" t="s">
        <v>257</v>
      </c>
      <c r="D16" s="97" t="s">
        <v>258</v>
      </c>
      <c r="E16" s="97" t="s">
        <v>259</v>
      </c>
      <c r="F16" s="97" t="s">
        <v>260</v>
      </c>
      <c r="G16" s="97" t="s">
        <v>261</v>
      </c>
      <c r="H16" s="98" t="s">
        <v>262</v>
      </c>
      <c r="I16" s="98" t="s">
        <v>263</v>
      </c>
      <c r="J16" s="98" t="s">
        <v>264</v>
      </c>
      <c r="K16" s="98" t="s">
        <v>265</v>
      </c>
      <c r="L16" s="98" t="s">
        <v>266</v>
      </c>
      <c r="M16" s="98" t="s">
        <v>267</v>
      </c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</row>
    <row r="17" spans="1:26" ht="15.75" customHeight="1" x14ac:dyDescent="0.15">
      <c r="A17" s="3" t="s">
        <v>268</v>
      </c>
      <c r="B17" s="107">
        <v>0.19220000000000001</v>
      </c>
      <c r="C17" s="108">
        <v>0.18479999999999999</v>
      </c>
      <c r="D17" s="108">
        <v>0.17280000000000001</v>
      </c>
      <c r="E17" s="108">
        <v>0.17680000000000001</v>
      </c>
      <c r="F17" s="107">
        <v>0.18029999999999999</v>
      </c>
      <c r="G17" s="108">
        <v>0.18479999999999999</v>
      </c>
      <c r="H17" s="109">
        <v>0.19270000000000001</v>
      </c>
      <c r="I17" s="110">
        <v>0.19939999999999999</v>
      </c>
      <c r="J17" s="110">
        <v>0.21240000000000001</v>
      </c>
      <c r="K17" s="110">
        <v>0.21460000000000001</v>
      </c>
      <c r="L17" s="110">
        <v>0.20630000000000001</v>
      </c>
      <c r="M17" s="110">
        <v>0.1968</v>
      </c>
      <c r="N17" s="109"/>
      <c r="O17" s="110"/>
      <c r="P17" s="110"/>
      <c r="Q17" s="110"/>
      <c r="R17" s="110"/>
      <c r="S17" s="110"/>
      <c r="T17" s="110"/>
      <c r="U17" s="110"/>
      <c r="V17" s="109"/>
      <c r="W17" s="110"/>
      <c r="X17" s="110"/>
      <c r="Y17" s="110"/>
      <c r="Z17" s="109"/>
    </row>
    <row r="18" spans="1:26" ht="15.75" customHeight="1" x14ac:dyDescent="0.15">
      <c r="A18" s="3" t="s">
        <v>269</v>
      </c>
      <c r="B18" s="97">
        <f t="shared" ref="B18:M18" si="0">SUM(B3:B10)+(B13+B14)</f>
        <v>142</v>
      </c>
      <c r="C18" s="97">
        <f t="shared" si="0"/>
        <v>134.79999999999998</v>
      </c>
      <c r="D18" s="97">
        <f t="shared" si="0"/>
        <v>125.6</v>
      </c>
      <c r="E18" s="97">
        <f t="shared" si="0"/>
        <v>130.6</v>
      </c>
      <c r="F18" s="97">
        <f t="shared" si="0"/>
        <v>132.80000000000001</v>
      </c>
      <c r="G18" s="97">
        <f t="shared" si="0"/>
        <v>136.6</v>
      </c>
      <c r="H18" s="97">
        <f t="shared" si="0"/>
        <v>143.79999999999998</v>
      </c>
      <c r="I18" s="97">
        <f t="shared" si="0"/>
        <v>148.80000000000001</v>
      </c>
      <c r="J18" s="97">
        <f t="shared" si="0"/>
        <v>160.80000000000001</v>
      </c>
      <c r="K18" s="97">
        <f t="shared" si="0"/>
        <v>164.20000000000002</v>
      </c>
      <c r="L18" s="97">
        <f t="shared" si="0"/>
        <v>152.6</v>
      </c>
      <c r="M18" s="97">
        <f t="shared" si="0"/>
        <v>148.4</v>
      </c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</row>
    <row r="19" spans="1:26" ht="15.75" customHeight="1" x14ac:dyDescent="0.15">
      <c r="A19" s="111" t="s">
        <v>270</v>
      </c>
      <c r="B19" s="97">
        <f t="shared" ref="B19:M19" si="1">SUM(B11:B12)</f>
        <v>31.6</v>
      </c>
      <c r="C19" s="97">
        <f t="shared" si="1"/>
        <v>30.4</v>
      </c>
      <c r="D19" s="97">
        <f t="shared" si="1"/>
        <v>28.4</v>
      </c>
      <c r="E19" s="97">
        <f t="shared" si="1"/>
        <v>29.4</v>
      </c>
      <c r="F19" s="97">
        <f t="shared" si="1"/>
        <v>29.4</v>
      </c>
      <c r="G19" s="97">
        <f t="shared" si="1"/>
        <v>32</v>
      </c>
      <c r="H19" s="97">
        <f t="shared" si="1"/>
        <v>34</v>
      </c>
      <c r="I19" s="97">
        <f t="shared" si="1"/>
        <v>36</v>
      </c>
      <c r="J19" s="97">
        <f t="shared" si="1"/>
        <v>37</v>
      </c>
      <c r="K19" s="97">
        <f t="shared" si="1"/>
        <v>38</v>
      </c>
      <c r="L19" s="97">
        <f t="shared" si="1"/>
        <v>36.6</v>
      </c>
      <c r="M19" s="97">
        <f t="shared" si="1"/>
        <v>32.4</v>
      </c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</row>
    <row r="20" spans="1:26" ht="15.75" customHeight="1" x14ac:dyDescent="0.15">
      <c r="H20" s="112"/>
      <c r="J20" s="61" t="s">
        <v>271</v>
      </c>
      <c r="K20" s="61" t="s">
        <v>272</v>
      </c>
      <c r="L20" s="112" t="s">
        <v>273</v>
      </c>
      <c r="O20" s="113"/>
      <c r="P20" s="25"/>
      <c r="Q20" s="25"/>
      <c r="R20" s="25"/>
      <c r="S20" s="25"/>
      <c r="T20" s="25"/>
      <c r="U20" s="25"/>
      <c r="V20" s="25"/>
      <c r="W20" s="25"/>
      <c r="X20" s="25"/>
      <c r="Y20" s="25"/>
    </row>
    <row r="21" spans="1:26" ht="15.75" customHeight="1" x14ac:dyDescent="0.15">
      <c r="O21" s="113"/>
      <c r="P21" s="25"/>
      <c r="Q21" s="25"/>
      <c r="R21" s="25"/>
      <c r="S21" s="25"/>
      <c r="T21" s="25"/>
      <c r="U21" s="25"/>
      <c r="V21" s="25"/>
      <c r="W21" s="25"/>
      <c r="X21" s="25"/>
      <c r="Y21" s="25"/>
    </row>
    <row r="22" spans="1:26" ht="15.75" customHeight="1" x14ac:dyDescent="0.15">
      <c r="B22" s="105"/>
      <c r="C22" s="114"/>
      <c r="D22" s="105"/>
      <c r="E22" s="105"/>
      <c r="F22" s="105"/>
      <c r="G22" s="105"/>
      <c r="H22" s="114"/>
      <c r="I22" s="105"/>
      <c r="J22" s="114"/>
      <c r="K22" s="114"/>
      <c r="O22" s="113"/>
      <c r="P22" s="25"/>
      <c r="Q22" s="25"/>
      <c r="R22" s="25"/>
      <c r="S22" s="25"/>
      <c r="T22" s="25"/>
      <c r="U22" s="25"/>
      <c r="V22" s="25"/>
      <c r="W22" s="25"/>
      <c r="X22" s="25"/>
      <c r="Y22" s="25"/>
    </row>
    <row r="23" spans="1:26" ht="15.75" customHeight="1" x14ac:dyDescent="0.15">
      <c r="A23" s="31"/>
      <c r="B23" s="105"/>
      <c r="C23" s="105"/>
      <c r="D23" s="114"/>
      <c r="E23" s="32"/>
      <c r="F23" s="32"/>
      <c r="G23" s="102"/>
      <c r="H23" s="32"/>
      <c r="I23" s="32"/>
      <c r="J23" s="32"/>
      <c r="K23" s="32"/>
      <c r="O23" s="113"/>
      <c r="P23" s="25"/>
      <c r="Q23" s="25"/>
      <c r="R23" s="25"/>
      <c r="S23" s="25"/>
      <c r="T23" s="25"/>
      <c r="U23" s="25"/>
      <c r="V23" s="25"/>
      <c r="W23" s="25"/>
      <c r="X23" s="25"/>
      <c r="Y23" s="25"/>
    </row>
    <row r="24" spans="1:26" ht="15.75" customHeight="1" x14ac:dyDescent="0.15">
      <c r="A24" s="31"/>
      <c r="B24" s="32"/>
      <c r="C24" s="32"/>
      <c r="D24" s="32"/>
      <c r="E24" s="32"/>
      <c r="F24" s="32"/>
      <c r="G24" s="102"/>
      <c r="H24" s="32"/>
      <c r="I24" s="32"/>
      <c r="J24" s="32"/>
      <c r="K24" s="32"/>
      <c r="O24" s="113"/>
      <c r="P24" s="25"/>
      <c r="Q24" s="25"/>
      <c r="R24" s="25"/>
      <c r="S24" s="25"/>
      <c r="T24" s="25"/>
      <c r="U24" s="25"/>
      <c r="V24" s="25"/>
      <c r="W24" s="25"/>
      <c r="X24" s="25"/>
      <c r="Y24" s="25"/>
    </row>
    <row r="25" spans="1:26" ht="15.75" customHeight="1" x14ac:dyDescent="0.15">
      <c r="A25" s="31"/>
      <c r="B25" s="32"/>
      <c r="C25" s="32"/>
      <c r="D25" s="32"/>
      <c r="E25" s="32"/>
      <c r="F25" s="32"/>
      <c r="G25" s="102"/>
      <c r="H25" s="32"/>
      <c r="I25" s="32"/>
      <c r="J25" s="32"/>
      <c r="K25" s="32"/>
      <c r="O25" s="113"/>
      <c r="P25" s="25"/>
      <c r="Q25" s="25"/>
      <c r="R25" s="25"/>
      <c r="S25" s="25"/>
      <c r="T25" s="25"/>
      <c r="U25" s="25"/>
      <c r="V25" s="25"/>
      <c r="W25" s="25"/>
      <c r="X25" s="25"/>
      <c r="Y25" s="25"/>
    </row>
    <row r="26" spans="1:26" ht="15.75" customHeight="1" x14ac:dyDescent="0.15">
      <c r="A26" s="31"/>
      <c r="B26" s="32"/>
      <c r="C26" s="32"/>
      <c r="D26" s="32"/>
      <c r="E26" s="32"/>
      <c r="F26" s="32"/>
      <c r="G26" s="102"/>
      <c r="H26" s="32"/>
      <c r="I26" s="32"/>
      <c r="J26" s="32"/>
      <c r="K26" s="32"/>
      <c r="O26" s="113"/>
      <c r="P26" s="25"/>
      <c r="Q26" s="25"/>
      <c r="R26" s="25"/>
      <c r="S26" s="25"/>
      <c r="T26" s="25"/>
      <c r="U26" s="25"/>
      <c r="V26" s="25"/>
      <c r="W26" s="25"/>
      <c r="X26" s="25"/>
      <c r="Y26" s="25"/>
    </row>
    <row r="27" spans="1:26" ht="15.75" customHeight="1" x14ac:dyDescent="0.15">
      <c r="A27" s="31"/>
      <c r="B27" s="32"/>
      <c r="C27" s="32"/>
      <c r="D27" s="32"/>
      <c r="E27" s="32"/>
      <c r="F27" s="32"/>
      <c r="G27" s="102"/>
      <c r="H27" s="32"/>
      <c r="I27" s="32"/>
      <c r="J27" s="32"/>
      <c r="K27" s="32"/>
      <c r="O27" s="113"/>
      <c r="P27" s="25"/>
      <c r="Q27" s="25"/>
      <c r="R27" s="25"/>
      <c r="S27" s="25"/>
      <c r="T27" s="25"/>
      <c r="U27" s="25"/>
      <c r="V27" s="25"/>
      <c r="W27" s="25"/>
      <c r="X27" s="25"/>
      <c r="Y27" s="25"/>
    </row>
    <row r="28" spans="1:26" ht="15.75" customHeight="1" x14ac:dyDescent="0.15">
      <c r="A28" s="31"/>
      <c r="B28" s="32"/>
      <c r="C28" s="32"/>
      <c r="D28" s="32"/>
      <c r="E28" s="32"/>
      <c r="F28" s="32"/>
      <c r="G28" s="102"/>
      <c r="H28" s="32"/>
      <c r="I28" s="32"/>
      <c r="J28" s="32"/>
      <c r="K28" s="32"/>
      <c r="O28" s="113"/>
      <c r="P28" s="25"/>
      <c r="Q28" s="25"/>
      <c r="R28" s="25"/>
      <c r="S28" s="25"/>
      <c r="T28" s="25"/>
      <c r="U28" s="25"/>
      <c r="V28" s="25"/>
      <c r="W28" s="25"/>
      <c r="X28" s="25"/>
      <c r="Y28" s="25"/>
    </row>
    <row r="29" spans="1:26" ht="15.75" customHeight="1" x14ac:dyDescent="0.15">
      <c r="A29" s="31"/>
      <c r="B29" s="32"/>
      <c r="C29" s="32"/>
      <c r="D29" s="32"/>
      <c r="E29" s="32"/>
      <c r="F29" s="32"/>
      <c r="G29" s="102"/>
      <c r="H29" s="32"/>
      <c r="I29" s="32"/>
      <c r="J29" s="32"/>
      <c r="K29" s="32"/>
      <c r="O29" s="113"/>
      <c r="P29" s="25"/>
      <c r="Q29" s="25"/>
      <c r="R29" s="25"/>
      <c r="S29" s="25"/>
      <c r="T29" s="25"/>
      <c r="U29" s="25"/>
      <c r="V29" s="25"/>
      <c r="W29" s="25"/>
      <c r="X29" s="25"/>
      <c r="Y29" s="25"/>
    </row>
    <row r="30" spans="1:26" ht="15.75" customHeight="1" x14ac:dyDescent="0.15">
      <c r="A30" s="31"/>
      <c r="B30" s="32"/>
      <c r="C30" s="32"/>
      <c r="D30" s="32"/>
      <c r="E30" s="32"/>
      <c r="F30" s="32"/>
      <c r="G30" s="102"/>
      <c r="H30" s="32"/>
      <c r="I30" s="32"/>
      <c r="J30" s="32"/>
      <c r="K30" s="32"/>
      <c r="O30" s="113"/>
      <c r="P30" s="25"/>
      <c r="Q30" s="25"/>
      <c r="R30" s="25"/>
      <c r="S30" s="25"/>
      <c r="T30" s="25"/>
      <c r="U30" s="25"/>
      <c r="V30" s="25"/>
      <c r="W30" s="25"/>
      <c r="X30" s="25"/>
      <c r="Y30" s="25"/>
    </row>
    <row r="31" spans="1:26" ht="15.75" customHeight="1" x14ac:dyDescent="0.15">
      <c r="A31" s="31"/>
      <c r="B31" s="32"/>
      <c r="C31" s="32"/>
      <c r="D31" s="32"/>
      <c r="E31" s="32"/>
      <c r="F31" s="32"/>
      <c r="G31" s="102"/>
      <c r="H31" s="32"/>
      <c r="I31" s="32"/>
      <c r="J31" s="32"/>
      <c r="K31" s="32"/>
      <c r="O31" s="113"/>
      <c r="P31" s="25"/>
      <c r="Q31" s="25"/>
      <c r="R31" s="115"/>
      <c r="S31" s="25"/>
      <c r="T31" s="25"/>
      <c r="U31" s="25"/>
      <c r="V31" s="25"/>
      <c r="W31" s="25"/>
      <c r="X31" s="25"/>
      <c r="Y31" s="25"/>
    </row>
    <row r="32" spans="1:26" ht="15.75" customHeight="1" x14ac:dyDescent="0.15">
      <c r="A32" s="31"/>
      <c r="B32" s="32"/>
      <c r="C32" s="32"/>
      <c r="D32" s="32"/>
      <c r="E32" s="32"/>
      <c r="F32" s="32"/>
      <c r="G32" s="102"/>
      <c r="H32" s="32"/>
      <c r="I32" s="32"/>
      <c r="J32" s="32"/>
      <c r="K32" s="32"/>
      <c r="O32" s="113"/>
      <c r="P32" s="25"/>
      <c r="Q32" s="25"/>
      <c r="R32" s="25"/>
      <c r="S32" s="25"/>
      <c r="T32" s="25"/>
      <c r="U32" s="25"/>
      <c r="V32" s="25"/>
      <c r="W32" s="25"/>
      <c r="X32" s="25"/>
      <c r="Y32" s="25"/>
    </row>
    <row r="33" spans="1:25" ht="15.75" customHeight="1" x14ac:dyDescent="0.15">
      <c r="A33" s="31"/>
      <c r="B33" s="32"/>
      <c r="C33" s="32"/>
      <c r="D33" s="32"/>
      <c r="E33" s="32"/>
      <c r="F33" s="32"/>
      <c r="G33" s="102"/>
      <c r="H33" s="32"/>
      <c r="I33" s="32"/>
      <c r="J33" s="32"/>
      <c r="K33" s="32"/>
      <c r="O33" s="113"/>
      <c r="P33" s="25"/>
      <c r="Q33" s="25"/>
      <c r="R33" s="25"/>
      <c r="S33" s="25"/>
      <c r="T33" s="25"/>
      <c r="U33" s="25"/>
      <c r="V33" s="25"/>
      <c r="W33" s="25"/>
      <c r="X33" s="25"/>
      <c r="Y33" s="25"/>
    </row>
    <row r="34" spans="1:25" ht="15.75" customHeight="1" x14ac:dyDescent="0.15">
      <c r="A34" s="31"/>
      <c r="B34" s="32"/>
      <c r="C34" s="32"/>
      <c r="D34" s="32"/>
      <c r="E34" s="32"/>
      <c r="F34" s="32"/>
      <c r="G34" s="102"/>
      <c r="H34" s="32"/>
      <c r="I34" s="32"/>
      <c r="J34" s="32"/>
      <c r="K34" s="32"/>
      <c r="O34" s="119"/>
      <c r="P34" s="25"/>
      <c r="Q34" s="25"/>
      <c r="R34" s="25"/>
      <c r="S34" s="25"/>
      <c r="T34" s="25"/>
      <c r="U34" s="25"/>
      <c r="V34" s="25"/>
      <c r="W34" s="25"/>
      <c r="X34" s="25"/>
      <c r="Y34" s="25"/>
    </row>
    <row r="35" spans="1:25" ht="15.75" customHeight="1" x14ac:dyDescent="0.15">
      <c r="A35" s="31"/>
      <c r="B35" s="32"/>
      <c r="C35" s="32"/>
      <c r="D35" s="32"/>
      <c r="E35" s="32"/>
      <c r="F35" s="32"/>
      <c r="G35" s="32"/>
      <c r="H35" s="32"/>
      <c r="I35" s="32"/>
      <c r="J35" s="32"/>
      <c r="K35" s="32"/>
      <c r="O35" s="113"/>
      <c r="P35" s="25"/>
      <c r="Q35" s="25"/>
      <c r="R35" s="25"/>
      <c r="S35" s="25"/>
      <c r="T35" s="25"/>
      <c r="U35" s="25"/>
      <c r="V35" s="25"/>
      <c r="W35" s="25"/>
      <c r="X35" s="25"/>
      <c r="Y35" s="25"/>
    </row>
    <row r="36" spans="1:25" ht="15.75" customHeight="1" x14ac:dyDescent="0.15">
      <c r="A36" s="32"/>
      <c r="B36" s="32"/>
      <c r="C36" s="102"/>
      <c r="D36" s="102"/>
      <c r="E36" s="102"/>
      <c r="F36" s="102"/>
      <c r="G36" s="102"/>
      <c r="H36" s="102"/>
      <c r="I36" s="102"/>
      <c r="J36" s="102"/>
      <c r="K36" s="102"/>
      <c r="O36" s="113"/>
      <c r="P36" s="25"/>
      <c r="Q36" s="25"/>
      <c r="R36" s="25"/>
      <c r="S36" s="25"/>
      <c r="T36" s="25"/>
      <c r="U36" s="25"/>
      <c r="V36" s="25"/>
      <c r="W36" s="25"/>
      <c r="X36" s="25"/>
      <c r="Y36" s="25"/>
    </row>
    <row r="37" spans="1:25" ht="15.75" customHeight="1" x14ac:dyDescent="0.15">
      <c r="A37" s="31"/>
      <c r="B37" s="102"/>
      <c r="C37" s="102"/>
      <c r="D37" s="102"/>
      <c r="E37" s="122"/>
      <c r="F37" s="122"/>
      <c r="G37" s="122"/>
      <c r="H37" s="122"/>
      <c r="I37" s="122"/>
      <c r="J37" s="122"/>
      <c r="K37" s="122"/>
      <c r="O37" s="113"/>
      <c r="P37" s="25"/>
      <c r="Q37" s="25"/>
      <c r="R37" s="25"/>
      <c r="S37" s="25"/>
      <c r="T37" s="25"/>
      <c r="U37" s="25"/>
      <c r="V37" s="25"/>
      <c r="W37" s="25"/>
      <c r="X37" s="25"/>
      <c r="Y37" s="25"/>
    </row>
    <row r="38" spans="1:25" ht="15.75" customHeight="1" x14ac:dyDescent="0.15">
      <c r="A38" s="31"/>
      <c r="B38" s="123"/>
      <c r="C38" s="122"/>
      <c r="D38" s="122"/>
      <c r="E38" s="102"/>
      <c r="F38" s="102"/>
      <c r="G38" s="102"/>
      <c r="H38" s="102"/>
      <c r="I38" s="102"/>
      <c r="J38" s="102"/>
      <c r="K38" s="102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</row>
    <row r="39" spans="1:25" ht="15.75" customHeight="1" x14ac:dyDescent="0.15">
      <c r="A39" s="31"/>
      <c r="B39" s="102"/>
      <c r="C39" s="102"/>
      <c r="D39" s="102"/>
      <c r="E39" s="102"/>
      <c r="F39" s="102"/>
      <c r="G39" s="102"/>
      <c r="H39" s="102"/>
      <c r="I39" s="102"/>
      <c r="J39" s="102"/>
      <c r="K39" s="102"/>
    </row>
    <row r="40" spans="1:25" ht="15.75" customHeight="1" x14ac:dyDescent="0.15">
      <c r="A40" s="124"/>
      <c r="B40" s="102"/>
      <c r="C40" s="102"/>
      <c r="D40" s="102"/>
      <c r="E40" s="32"/>
      <c r="F40" s="32"/>
      <c r="G40" s="32"/>
      <c r="H40" s="32"/>
      <c r="I40" s="32"/>
      <c r="J40" s="32"/>
      <c r="K40" s="32"/>
    </row>
    <row r="41" spans="1:25" ht="15.75" customHeight="1" x14ac:dyDescent="0.15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outlinePr summaryBelow="0" summaryRight="0"/>
  </sheetPr>
  <dimension ref="A1:F61"/>
  <sheetViews>
    <sheetView workbookViewId="0"/>
  </sheetViews>
  <sheetFormatPr baseColWidth="10" defaultColWidth="12.6640625" defaultRowHeight="15.75" customHeight="1" x14ac:dyDescent="0.15"/>
  <cols>
    <col min="3" max="3" width="33.5" customWidth="1"/>
    <col min="5" max="5" width="30" customWidth="1"/>
    <col min="6" max="6" width="21.83203125" customWidth="1"/>
  </cols>
  <sheetData>
    <row r="1" spans="1:6" ht="15.75" customHeight="1" x14ac:dyDescent="0.15">
      <c r="E1" s="1" t="s">
        <v>0</v>
      </c>
      <c r="F1" s="2" t="s">
        <v>2</v>
      </c>
    </row>
    <row r="3" spans="1:6" ht="15.75" customHeight="1" x14ac:dyDescent="0.15">
      <c r="A3" s="5" t="s">
        <v>3</v>
      </c>
      <c r="B3" s="7" t="s">
        <v>10</v>
      </c>
      <c r="C3" s="8" t="s">
        <v>13</v>
      </c>
      <c r="D3" s="9" t="s">
        <v>16</v>
      </c>
      <c r="E3" s="10"/>
      <c r="F3" s="11"/>
    </row>
    <row r="4" spans="1:6" ht="15.75" customHeight="1" x14ac:dyDescent="0.15">
      <c r="A4" s="13"/>
      <c r="B4" s="14"/>
      <c r="C4" s="15"/>
      <c r="D4" s="14"/>
      <c r="E4" s="16" t="s">
        <v>17</v>
      </c>
      <c r="F4" s="17" t="s">
        <v>18</v>
      </c>
    </row>
    <row r="5" spans="1:6" ht="15.75" customHeight="1" x14ac:dyDescent="0.15">
      <c r="A5" s="13"/>
      <c r="B5" s="18" t="s">
        <v>19</v>
      </c>
      <c r="C5" s="19" t="s">
        <v>20</v>
      </c>
      <c r="D5" s="15" t="s">
        <v>21</v>
      </c>
      <c r="E5" s="20"/>
      <c r="F5" s="20"/>
    </row>
    <row r="6" spans="1:6" ht="15.75" customHeight="1" x14ac:dyDescent="0.15">
      <c r="A6" s="13"/>
      <c r="B6" s="18" t="s">
        <v>22</v>
      </c>
      <c r="C6" s="19" t="s">
        <v>23</v>
      </c>
      <c r="D6" s="14" t="s">
        <v>24</v>
      </c>
      <c r="E6" s="20" t="s">
        <v>25</v>
      </c>
      <c r="F6" s="20" t="s">
        <v>26</v>
      </c>
    </row>
    <row r="7" spans="1:6" ht="15.75" customHeight="1" x14ac:dyDescent="0.15">
      <c r="A7" s="13"/>
      <c r="B7" s="18" t="s">
        <v>27</v>
      </c>
      <c r="C7" s="19" t="s">
        <v>28</v>
      </c>
      <c r="D7" s="14" t="s">
        <v>29</v>
      </c>
      <c r="E7" s="20" t="s">
        <v>30</v>
      </c>
      <c r="F7" s="20" t="s">
        <v>31</v>
      </c>
    </row>
    <row r="8" spans="1:6" ht="15.75" customHeight="1" x14ac:dyDescent="0.15">
      <c r="A8" s="13"/>
      <c r="B8" s="21" t="s">
        <v>32</v>
      </c>
      <c r="C8" s="22" t="s">
        <v>33</v>
      </c>
      <c r="D8" s="23"/>
      <c r="E8" s="20"/>
      <c r="F8" s="20"/>
    </row>
    <row r="9" spans="1:6" ht="15.75" customHeight="1" x14ac:dyDescent="0.15">
      <c r="A9" s="13"/>
      <c r="B9" s="21" t="s">
        <v>34</v>
      </c>
      <c r="C9" s="22" t="s">
        <v>35</v>
      </c>
      <c r="D9" s="24"/>
      <c r="E9" s="20"/>
      <c r="F9" s="20"/>
    </row>
    <row r="10" spans="1:6" ht="15.75" customHeight="1" x14ac:dyDescent="0.15">
      <c r="A10" s="25"/>
      <c r="B10" s="26" t="s">
        <v>36</v>
      </c>
      <c r="C10" s="27" t="s">
        <v>37</v>
      </c>
      <c r="D10" s="24"/>
      <c r="E10" s="20"/>
      <c r="F10" s="20"/>
    </row>
    <row r="11" spans="1:6" ht="15.75" customHeight="1" x14ac:dyDescent="0.15">
      <c r="A11" s="25"/>
      <c r="B11" s="28"/>
      <c r="C11" s="29"/>
      <c r="D11" s="24"/>
      <c r="E11" s="30"/>
      <c r="F11" s="20"/>
    </row>
    <row r="12" spans="1:6" ht="15.75" customHeight="1" x14ac:dyDescent="0.15">
      <c r="C12" s="31"/>
    </row>
    <row r="13" spans="1:6" ht="15.75" customHeight="1" x14ac:dyDescent="0.15">
      <c r="A13" s="32"/>
      <c r="B13" s="31"/>
      <c r="C13" s="32"/>
      <c r="D13" s="33"/>
      <c r="E13" s="32"/>
      <c r="F13" s="32"/>
    </row>
    <row r="14" spans="1:6" ht="15.75" customHeight="1" x14ac:dyDescent="0.15">
      <c r="A14" s="5" t="s">
        <v>38</v>
      </c>
      <c r="B14" s="7" t="s">
        <v>10</v>
      </c>
      <c r="C14" s="8" t="s">
        <v>39</v>
      </c>
      <c r="D14" s="9" t="s">
        <v>40</v>
      </c>
      <c r="E14" s="10"/>
      <c r="F14" s="11"/>
    </row>
    <row r="15" spans="1:6" ht="15.75" customHeight="1" x14ac:dyDescent="0.15">
      <c r="A15" s="13"/>
      <c r="B15" s="14"/>
      <c r="C15" s="15"/>
      <c r="D15" s="14"/>
      <c r="E15" s="16" t="s">
        <v>17</v>
      </c>
      <c r="F15" s="17" t="s">
        <v>18</v>
      </c>
    </row>
    <row r="16" spans="1:6" ht="15.75" customHeight="1" x14ac:dyDescent="0.15">
      <c r="A16" s="13"/>
      <c r="B16" s="18" t="s">
        <v>19</v>
      </c>
      <c r="C16" s="19" t="s">
        <v>20</v>
      </c>
      <c r="D16" s="15" t="s">
        <v>21</v>
      </c>
      <c r="E16" s="20"/>
      <c r="F16" s="20"/>
    </row>
    <row r="17" spans="1:6" ht="15.75" customHeight="1" x14ac:dyDescent="0.15">
      <c r="A17" s="13"/>
      <c r="B17" s="18" t="s">
        <v>22</v>
      </c>
      <c r="C17" s="19" t="s">
        <v>41</v>
      </c>
      <c r="D17" s="14" t="s">
        <v>42</v>
      </c>
      <c r="E17" s="20" t="s">
        <v>25</v>
      </c>
      <c r="F17" s="20" t="s">
        <v>26</v>
      </c>
    </row>
    <row r="18" spans="1:6" ht="15.75" customHeight="1" x14ac:dyDescent="0.15">
      <c r="A18" s="13"/>
      <c r="B18" s="18" t="s">
        <v>27</v>
      </c>
      <c r="C18" s="19" t="s">
        <v>28</v>
      </c>
      <c r="D18" s="14" t="s">
        <v>29</v>
      </c>
      <c r="E18" s="20" t="s">
        <v>30</v>
      </c>
      <c r="F18" s="20" t="s">
        <v>31</v>
      </c>
    </row>
    <row r="19" spans="1:6" ht="15.75" customHeight="1" x14ac:dyDescent="0.15">
      <c r="A19" s="13"/>
      <c r="B19" s="21" t="s">
        <v>32</v>
      </c>
      <c r="C19" s="22" t="s">
        <v>33</v>
      </c>
      <c r="D19" s="23"/>
      <c r="E19" s="20"/>
      <c r="F19" s="20"/>
    </row>
    <row r="20" spans="1:6" ht="15.75" customHeight="1" x14ac:dyDescent="0.15">
      <c r="A20" s="13"/>
      <c r="B20" s="21" t="s">
        <v>34</v>
      </c>
      <c r="C20" s="22" t="s">
        <v>35</v>
      </c>
      <c r="D20" s="24"/>
      <c r="E20" s="20"/>
      <c r="F20" s="20"/>
    </row>
    <row r="21" spans="1:6" ht="15.75" customHeight="1" x14ac:dyDescent="0.15">
      <c r="A21" s="25"/>
      <c r="B21" s="26" t="s">
        <v>36</v>
      </c>
      <c r="C21" s="27" t="s">
        <v>37</v>
      </c>
      <c r="D21" s="24"/>
      <c r="E21" s="20"/>
      <c r="F21" s="20"/>
    </row>
    <row r="22" spans="1:6" ht="15.75" customHeight="1" x14ac:dyDescent="0.15">
      <c r="A22" s="25"/>
      <c r="B22" s="28"/>
      <c r="C22" s="29"/>
      <c r="D22" s="24"/>
      <c r="E22" s="30"/>
      <c r="F22" s="20"/>
    </row>
    <row r="25" spans="1:6" ht="15.75" customHeight="1" x14ac:dyDescent="0.15">
      <c r="A25" s="5" t="s">
        <v>38</v>
      </c>
      <c r="B25" s="7" t="s">
        <v>10</v>
      </c>
      <c r="C25" s="8" t="s">
        <v>43</v>
      </c>
      <c r="D25" s="9" t="s">
        <v>16</v>
      </c>
      <c r="E25" s="10"/>
      <c r="F25" s="11"/>
    </row>
    <row r="26" spans="1:6" ht="15.75" customHeight="1" x14ac:dyDescent="0.15">
      <c r="A26" s="13"/>
      <c r="B26" s="14"/>
      <c r="C26" s="15"/>
      <c r="D26" s="14"/>
      <c r="E26" s="16" t="s">
        <v>17</v>
      </c>
      <c r="F26" s="17" t="s">
        <v>18</v>
      </c>
    </row>
    <row r="27" spans="1:6" ht="15.75" customHeight="1" x14ac:dyDescent="0.15">
      <c r="A27" s="13"/>
      <c r="B27" s="18" t="s">
        <v>19</v>
      </c>
      <c r="C27" s="19" t="s">
        <v>20</v>
      </c>
      <c r="D27" s="15" t="s">
        <v>21</v>
      </c>
      <c r="E27" s="20"/>
      <c r="F27" s="20"/>
    </row>
    <row r="28" spans="1:6" ht="15.75" customHeight="1" x14ac:dyDescent="0.15">
      <c r="A28" s="13"/>
      <c r="B28" s="18" t="s">
        <v>22</v>
      </c>
      <c r="C28" s="19" t="s">
        <v>44</v>
      </c>
      <c r="D28" s="14" t="s">
        <v>45</v>
      </c>
      <c r="E28" s="20" t="s">
        <v>25</v>
      </c>
      <c r="F28" s="20" t="s">
        <v>26</v>
      </c>
    </row>
    <row r="29" spans="1:6" ht="15.75" customHeight="1" x14ac:dyDescent="0.15">
      <c r="A29" s="13"/>
      <c r="B29" s="18" t="s">
        <v>27</v>
      </c>
      <c r="C29" s="19" t="s">
        <v>28</v>
      </c>
      <c r="D29" s="14" t="s">
        <v>29</v>
      </c>
      <c r="E29" s="20" t="s">
        <v>30</v>
      </c>
      <c r="F29" s="20" t="s">
        <v>31</v>
      </c>
    </row>
    <row r="30" spans="1:6" ht="15.75" customHeight="1" x14ac:dyDescent="0.15">
      <c r="A30" s="13"/>
      <c r="B30" s="21" t="s">
        <v>32</v>
      </c>
      <c r="C30" s="22" t="s">
        <v>33</v>
      </c>
      <c r="D30" s="23"/>
      <c r="E30" s="20"/>
      <c r="F30" s="20"/>
    </row>
    <row r="31" spans="1:6" ht="15.75" customHeight="1" x14ac:dyDescent="0.15">
      <c r="A31" s="13"/>
      <c r="B31" s="21" t="s">
        <v>34</v>
      </c>
      <c r="C31" s="22" t="s">
        <v>35</v>
      </c>
      <c r="D31" s="24"/>
      <c r="E31" s="20"/>
      <c r="F31" s="20"/>
    </row>
    <row r="32" spans="1:6" ht="15.75" customHeight="1" x14ac:dyDescent="0.15">
      <c r="A32" s="25"/>
      <c r="B32" s="26" t="s">
        <v>36</v>
      </c>
      <c r="C32" s="27" t="s">
        <v>37</v>
      </c>
      <c r="D32" s="24"/>
      <c r="E32" s="20"/>
      <c r="F32" s="20"/>
    </row>
    <row r="33" spans="1:6" ht="15.75" customHeight="1" x14ac:dyDescent="0.15">
      <c r="A33" s="25"/>
      <c r="B33" s="28"/>
      <c r="C33" s="29"/>
      <c r="D33" s="24"/>
      <c r="E33" s="30"/>
      <c r="F33" s="20"/>
    </row>
    <row r="34" spans="1:6" ht="15.75" customHeight="1" x14ac:dyDescent="0.15">
      <c r="A34" s="34"/>
      <c r="B34" s="11"/>
      <c r="C34" s="35"/>
      <c r="D34" s="34"/>
      <c r="E34" s="34"/>
      <c r="F34" s="34"/>
    </row>
    <row r="35" spans="1:6" ht="15.75" customHeight="1" x14ac:dyDescent="0.15">
      <c r="A35" s="34"/>
      <c r="B35" s="11"/>
      <c r="C35" s="35"/>
      <c r="D35" s="34"/>
      <c r="E35" s="34"/>
      <c r="F35" s="34"/>
    </row>
    <row r="36" spans="1:6" ht="15.75" customHeight="1" x14ac:dyDescent="0.15">
      <c r="A36" s="36">
        <v>46176</v>
      </c>
      <c r="B36" s="7" t="s">
        <v>10</v>
      </c>
      <c r="C36" s="8" t="s">
        <v>46</v>
      </c>
      <c r="D36" s="37">
        <v>0.1</v>
      </c>
      <c r="E36" s="10"/>
      <c r="F36" s="11"/>
    </row>
    <row r="37" spans="1:6" ht="15.75" customHeight="1" x14ac:dyDescent="0.15">
      <c r="A37" s="13"/>
      <c r="B37" s="14"/>
      <c r="C37" s="15"/>
      <c r="D37" s="14"/>
      <c r="E37" s="16" t="s">
        <v>17</v>
      </c>
      <c r="F37" s="17" t="s">
        <v>18</v>
      </c>
    </row>
    <row r="38" spans="1:6" ht="15.75" customHeight="1" x14ac:dyDescent="0.15">
      <c r="A38" s="13"/>
      <c r="B38" s="18" t="s">
        <v>19</v>
      </c>
      <c r="C38" s="19" t="s">
        <v>20</v>
      </c>
      <c r="D38" s="15" t="s">
        <v>21</v>
      </c>
      <c r="E38" s="20"/>
      <c r="F38" s="20"/>
    </row>
    <row r="39" spans="1:6" ht="15.75" customHeight="1" x14ac:dyDescent="0.15">
      <c r="A39" s="13"/>
      <c r="B39" s="18" t="s">
        <v>22</v>
      </c>
      <c r="C39" s="19" t="s">
        <v>47</v>
      </c>
      <c r="D39" s="14" t="s">
        <v>48</v>
      </c>
      <c r="E39" s="20" t="s">
        <v>25</v>
      </c>
      <c r="F39" s="20" t="s">
        <v>26</v>
      </c>
    </row>
    <row r="40" spans="1:6" ht="15.75" customHeight="1" x14ac:dyDescent="0.15">
      <c r="A40" s="13"/>
      <c r="B40" s="18" t="s">
        <v>27</v>
      </c>
      <c r="C40" s="19" t="s">
        <v>28</v>
      </c>
      <c r="D40" s="14" t="s">
        <v>29</v>
      </c>
      <c r="E40" s="20" t="s">
        <v>30</v>
      </c>
      <c r="F40" s="20" t="s">
        <v>31</v>
      </c>
    </row>
    <row r="41" spans="1:6" ht="15.75" customHeight="1" x14ac:dyDescent="0.15">
      <c r="A41" s="13"/>
      <c r="B41" s="21" t="s">
        <v>32</v>
      </c>
      <c r="C41" s="22" t="s">
        <v>33</v>
      </c>
      <c r="D41" s="23"/>
      <c r="E41" s="20"/>
      <c r="F41" s="20"/>
    </row>
    <row r="42" spans="1:6" ht="15.75" customHeight="1" x14ac:dyDescent="0.15">
      <c r="A42" s="13"/>
      <c r="B42" s="21" t="s">
        <v>34</v>
      </c>
      <c r="C42" s="22" t="s">
        <v>35</v>
      </c>
      <c r="D42" s="24"/>
      <c r="E42" s="20"/>
      <c r="F42" s="20"/>
    </row>
    <row r="43" spans="1:6" ht="15.75" customHeight="1" x14ac:dyDescent="0.15">
      <c r="A43" s="25"/>
      <c r="B43" s="26" t="s">
        <v>36</v>
      </c>
      <c r="C43" s="27" t="s">
        <v>37</v>
      </c>
      <c r="D43" s="24"/>
      <c r="E43" s="20"/>
      <c r="F43" s="20"/>
    </row>
    <row r="44" spans="1:6" ht="15.75" customHeight="1" x14ac:dyDescent="0.15">
      <c r="A44" s="25"/>
      <c r="B44" s="28"/>
      <c r="C44" s="29"/>
      <c r="D44" s="24"/>
      <c r="E44" s="30"/>
      <c r="F44" s="20"/>
    </row>
    <row r="45" spans="1:6" ht="15.75" customHeight="1" x14ac:dyDescent="0.15">
      <c r="A45" s="34"/>
      <c r="B45" s="11"/>
      <c r="C45" s="35"/>
      <c r="D45" s="34"/>
      <c r="E45" s="34"/>
      <c r="F45" s="34"/>
    </row>
    <row r="46" spans="1:6" ht="13" x14ac:dyDescent="0.15">
      <c r="A46" s="34"/>
      <c r="B46" s="11"/>
      <c r="C46" s="35"/>
      <c r="D46" s="34"/>
      <c r="E46" s="34"/>
      <c r="F46" s="34"/>
    </row>
    <row r="47" spans="1:6" ht="13" x14ac:dyDescent="0.15">
      <c r="A47" s="5" t="s">
        <v>49</v>
      </c>
      <c r="B47" s="7" t="s">
        <v>10</v>
      </c>
      <c r="C47" s="8" t="s">
        <v>43</v>
      </c>
      <c r="D47" s="9" t="s">
        <v>16</v>
      </c>
      <c r="E47" s="10"/>
      <c r="F47" s="11"/>
    </row>
    <row r="48" spans="1:6" ht="13" x14ac:dyDescent="0.15">
      <c r="A48" s="13"/>
      <c r="B48" s="14"/>
      <c r="C48" s="15"/>
      <c r="D48" s="14"/>
      <c r="E48" s="16" t="s">
        <v>17</v>
      </c>
      <c r="F48" s="17" t="s">
        <v>18</v>
      </c>
    </row>
    <row r="49" spans="1:6" ht="13" x14ac:dyDescent="0.15">
      <c r="A49" s="13"/>
      <c r="B49" s="18" t="s">
        <v>19</v>
      </c>
      <c r="C49" s="19" t="s">
        <v>20</v>
      </c>
      <c r="D49" s="15" t="s">
        <v>21</v>
      </c>
      <c r="E49" s="20"/>
      <c r="F49" s="20"/>
    </row>
    <row r="50" spans="1:6" ht="13" x14ac:dyDescent="0.15">
      <c r="A50" s="13"/>
      <c r="B50" s="18" t="s">
        <v>22</v>
      </c>
      <c r="C50" s="19" t="s">
        <v>44</v>
      </c>
      <c r="D50" s="14" t="s">
        <v>45</v>
      </c>
      <c r="E50" s="20" t="s">
        <v>25</v>
      </c>
      <c r="F50" s="20" t="s">
        <v>26</v>
      </c>
    </row>
    <row r="51" spans="1:6" ht="13" x14ac:dyDescent="0.15">
      <c r="A51" s="13"/>
      <c r="B51" s="18" t="s">
        <v>27</v>
      </c>
      <c r="C51" s="19" t="s">
        <v>28</v>
      </c>
      <c r="D51" s="14" t="s">
        <v>29</v>
      </c>
      <c r="E51" s="20" t="s">
        <v>30</v>
      </c>
      <c r="F51" s="20" t="s">
        <v>31</v>
      </c>
    </row>
    <row r="52" spans="1:6" ht="13" x14ac:dyDescent="0.15">
      <c r="A52" s="13"/>
      <c r="B52" s="21" t="s">
        <v>32</v>
      </c>
      <c r="C52" s="22" t="s">
        <v>33</v>
      </c>
      <c r="D52" s="23"/>
      <c r="E52" s="20"/>
      <c r="F52" s="20"/>
    </row>
    <row r="53" spans="1:6" ht="13" x14ac:dyDescent="0.15">
      <c r="A53" s="13"/>
      <c r="B53" s="21" t="s">
        <v>34</v>
      </c>
      <c r="C53" s="22" t="s">
        <v>35</v>
      </c>
      <c r="D53" s="24"/>
      <c r="E53" s="20"/>
      <c r="F53" s="20"/>
    </row>
    <row r="54" spans="1:6" ht="13" x14ac:dyDescent="0.15">
      <c r="A54" s="25"/>
      <c r="B54" s="26" t="s">
        <v>36</v>
      </c>
      <c r="C54" s="27" t="s">
        <v>37</v>
      </c>
      <c r="D54" s="24"/>
      <c r="E54" s="20"/>
      <c r="F54" s="20"/>
    </row>
    <row r="55" spans="1:6" ht="13" x14ac:dyDescent="0.15">
      <c r="A55" s="25"/>
      <c r="B55" s="28"/>
      <c r="C55" s="29"/>
      <c r="D55" s="24"/>
      <c r="E55" s="30"/>
      <c r="F55" s="20"/>
    </row>
    <row r="56" spans="1:6" ht="13" x14ac:dyDescent="0.15">
      <c r="A56" s="34"/>
      <c r="B56" s="11"/>
      <c r="C56" s="35"/>
      <c r="D56" s="34"/>
      <c r="E56" s="34"/>
      <c r="F56" s="34"/>
    </row>
    <row r="57" spans="1:6" ht="13" x14ac:dyDescent="0.15">
      <c r="A57" s="34"/>
      <c r="B57" s="11"/>
      <c r="C57" s="35"/>
      <c r="D57" s="34"/>
      <c r="E57" s="34"/>
      <c r="F57" s="34"/>
    </row>
    <row r="58" spans="1:6" ht="13" x14ac:dyDescent="0.15">
      <c r="A58" s="34"/>
      <c r="B58" s="11"/>
      <c r="C58" s="35"/>
      <c r="D58" s="34"/>
      <c r="E58" s="34"/>
      <c r="F58" s="34"/>
    </row>
    <row r="59" spans="1:6" ht="13" x14ac:dyDescent="0.15">
      <c r="A59" s="34"/>
      <c r="B59" s="11"/>
      <c r="C59" s="34"/>
      <c r="D59" s="34"/>
      <c r="E59" s="34"/>
      <c r="F59" s="34"/>
    </row>
    <row r="60" spans="1:6" ht="13" x14ac:dyDescent="0.15">
      <c r="A60" s="34"/>
      <c r="B60" s="34"/>
      <c r="C60" s="38"/>
      <c r="D60" s="34"/>
      <c r="E60" s="39"/>
      <c r="F60" s="34"/>
    </row>
    <row r="61" spans="1:6" ht="13" x14ac:dyDescent="0.15">
      <c r="A61" s="32"/>
      <c r="B61" s="32"/>
      <c r="C61" s="31"/>
      <c r="D61" s="32"/>
      <c r="E61" s="32"/>
      <c r="F61" s="3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00"/>
    <outlinePr summaryBelow="0" summaryRight="0"/>
  </sheetPr>
  <dimension ref="A1:G996"/>
  <sheetViews>
    <sheetView workbookViewId="0"/>
  </sheetViews>
  <sheetFormatPr baseColWidth="10" defaultColWidth="12.6640625" defaultRowHeight="15.75" customHeight="1" x14ac:dyDescent="0.15"/>
  <cols>
    <col min="1" max="1" width="2.33203125" customWidth="1"/>
    <col min="3" max="3" width="15.83203125" customWidth="1"/>
    <col min="4" max="4" width="15" customWidth="1"/>
    <col min="5" max="6" width="19.5" customWidth="1"/>
  </cols>
  <sheetData>
    <row r="1" spans="1:7" ht="8.25" customHeight="1" x14ac:dyDescent="0.15">
      <c r="C1" s="70"/>
      <c r="D1" s="70"/>
      <c r="E1" s="70"/>
    </row>
    <row r="2" spans="1:7" ht="13" x14ac:dyDescent="0.15">
      <c r="B2" s="71" t="s">
        <v>319</v>
      </c>
      <c r="C2" s="132" t="s">
        <v>320</v>
      </c>
      <c r="D2" s="132" t="s">
        <v>321</v>
      </c>
      <c r="E2" s="132" t="s">
        <v>322</v>
      </c>
      <c r="F2" s="133" t="s">
        <v>323</v>
      </c>
      <c r="G2" s="105"/>
    </row>
    <row r="3" spans="1:7" ht="13" x14ac:dyDescent="0.15">
      <c r="B3" s="134">
        <v>46067</v>
      </c>
      <c r="C3" s="62">
        <v>70.8</v>
      </c>
      <c r="D3" s="135">
        <v>2942</v>
      </c>
      <c r="E3" s="135">
        <v>10594</v>
      </c>
      <c r="F3" s="72">
        <v>8</v>
      </c>
      <c r="G3" s="32"/>
    </row>
    <row r="4" spans="1:7" ht="13" x14ac:dyDescent="0.15">
      <c r="B4" s="134">
        <f t="shared" ref="B4:B258" si="0">B3+1</f>
        <v>46068</v>
      </c>
      <c r="C4" s="62">
        <v>71.2</v>
      </c>
      <c r="D4" s="135">
        <v>2843</v>
      </c>
      <c r="E4" s="135">
        <v>13106</v>
      </c>
      <c r="F4" s="72">
        <v>8</v>
      </c>
      <c r="G4" s="32"/>
    </row>
    <row r="5" spans="1:7" ht="13" x14ac:dyDescent="0.15">
      <c r="B5" s="134">
        <f t="shared" si="0"/>
        <v>46069</v>
      </c>
      <c r="C5" s="62">
        <v>71.400000000000006</v>
      </c>
      <c r="D5" s="135">
        <v>2847</v>
      </c>
      <c r="E5" s="135">
        <v>8684</v>
      </c>
      <c r="F5" s="72">
        <v>8</v>
      </c>
      <c r="G5" s="32"/>
    </row>
    <row r="6" spans="1:7" ht="13" x14ac:dyDescent="0.15">
      <c r="B6" s="134">
        <f t="shared" si="0"/>
        <v>46070</v>
      </c>
      <c r="C6" s="62">
        <v>71.3</v>
      </c>
      <c r="D6" s="135">
        <v>2975</v>
      </c>
      <c r="E6" s="135">
        <v>10931</v>
      </c>
      <c r="F6" s="72">
        <v>8</v>
      </c>
      <c r="G6" s="32"/>
    </row>
    <row r="7" spans="1:7" ht="13" x14ac:dyDescent="0.15">
      <c r="B7" s="134">
        <f t="shared" si="0"/>
        <v>46071</v>
      </c>
      <c r="C7" s="62">
        <v>70.8</v>
      </c>
      <c r="D7" s="135">
        <v>2829</v>
      </c>
      <c r="E7" s="135">
        <v>13548</v>
      </c>
      <c r="F7" s="72">
        <v>7.5</v>
      </c>
      <c r="G7" s="32"/>
    </row>
    <row r="8" spans="1:7" ht="13" x14ac:dyDescent="0.15">
      <c r="B8" s="134">
        <f t="shared" si="0"/>
        <v>46072</v>
      </c>
      <c r="C8" s="62">
        <v>70.5</v>
      </c>
      <c r="D8" s="135">
        <v>2727</v>
      </c>
      <c r="E8" s="135">
        <v>13802</v>
      </c>
      <c r="F8" s="72">
        <v>7.5</v>
      </c>
      <c r="G8" s="32"/>
    </row>
    <row r="9" spans="1:7" ht="13" x14ac:dyDescent="0.15">
      <c r="B9" s="134">
        <f t="shared" si="0"/>
        <v>46073</v>
      </c>
      <c r="C9" s="62">
        <v>71.2</v>
      </c>
      <c r="D9" s="135">
        <v>3067</v>
      </c>
      <c r="E9" s="135">
        <v>14028</v>
      </c>
      <c r="F9" s="72">
        <v>7.5</v>
      </c>
      <c r="G9" s="32"/>
    </row>
    <row r="10" spans="1:7" ht="13" x14ac:dyDescent="0.15">
      <c r="B10" s="134">
        <f t="shared" si="0"/>
        <v>46074</v>
      </c>
      <c r="C10" s="62">
        <v>70.900000000000006</v>
      </c>
      <c r="D10" s="135">
        <v>2611</v>
      </c>
      <c r="E10" s="135">
        <v>5200</v>
      </c>
      <c r="F10" s="72">
        <v>8</v>
      </c>
      <c r="G10" s="32"/>
    </row>
    <row r="11" spans="1:7" ht="13" x14ac:dyDescent="0.15">
      <c r="B11" s="134">
        <f t="shared" si="0"/>
        <v>46075</v>
      </c>
      <c r="C11" s="62">
        <v>70.8</v>
      </c>
      <c r="D11" s="135">
        <v>2549</v>
      </c>
      <c r="E11" s="135">
        <v>15109</v>
      </c>
      <c r="F11" s="72">
        <v>7</v>
      </c>
      <c r="G11" s="32"/>
    </row>
    <row r="12" spans="1:7" ht="13" x14ac:dyDescent="0.15">
      <c r="B12" s="134">
        <f t="shared" si="0"/>
        <v>46076</v>
      </c>
      <c r="C12" s="62">
        <v>70.900000000000006</v>
      </c>
      <c r="D12" s="135">
        <v>2995</v>
      </c>
      <c r="E12" s="135">
        <v>10799</v>
      </c>
      <c r="F12" s="72">
        <v>7</v>
      </c>
      <c r="G12" s="32"/>
    </row>
    <row r="13" spans="1:7" ht="13" x14ac:dyDescent="0.15">
      <c r="B13" s="134">
        <f t="shared" si="0"/>
        <v>46077</v>
      </c>
      <c r="C13" s="62">
        <v>71.099999999999994</v>
      </c>
      <c r="D13" s="136">
        <v>3219</v>
      </c>
      <c r="E13" s="135">
        <v>9939</v>
      </c>
      <c r="F13" s="72">
        <v>8</v>
      </c>
      <c r="G13" s="32"/>
    </row>
    <row r="14" spans="1:7" ht="13" x14ac:dyDescent="0.15">
      <c r="B14" s="134">
        <f t="shared" si="0"/>
        <v>46078</v>
      </c>
      <c r="C14" s="62">
        <v>71.2</v>
      </c>
      <c r="D14" s="136">
        <v>3150</v>
      </c>
      <c r="E14" s="135">
        <v>14592</v>
      </c>
      <c r="F14" s="72">
        <v>8</v>
      </c>
      <c r="G14" s="32"/>
    </row>
    <row r="15" spans="1:7" ht="13" x14ac:dyDescent="0.15">
      <c r="B15" s="134">
        <f t="shared" si="0"/>
        <v>46079</v>
      </c>
      <c r="C15" s="62">
        <v>71.099999999999994</v>
      </c>
      <c r="D15" s="136">
        <v>3046</v>
      </c>
      <c r="E15" s="135">
        <v>13327</v>
      </c>
      <c r="F15" s="72">
        <v>7</v>
      </c>
      <c r="G15" s="32"/>
    </row>
    <row r="16" spans="1:7" ht="13" x14ac:dyDescent="0.15">
      <c r="A16" s="32"/>
      <c r="B16" s="134">
        <f t="shared" si="0"/>
        <v>46080</v>
      </c>
      <c r="C16" s="62">
        <v>71.3</v>
      </c>
      <c r="D16" s="139">
        <v>3248</v>
      </c>
      <c r="E16" s="135">
        <v>9127</v>
      </c>
      <c r="F16" s="72">
        <v>6</v>
      </c>
      <c r="G16" s="32"/>
    </row>
    <row r="17" spans="2:7" ht="13" x14ac:dyDescent="0.15">
      <c r="B17" s="134">
        <f t="shared" si="0"/>
        <v>46081</v>
      </c>
      <c r="C17" s="62">
        <v>70.900000000000006</v>
      </c>
      <c r="D17" s="136">
        <v>2900</v>
      </c>
      <c r="E17" s="135">
        <v>5998</v>
      </c>
      <c r="F17" s="72">
        <v>7.5</v>
      </c>
      <c r="G17" s="32"/>
    </row>
    <row r="18" spans="2:7" ht="13" x14ac:dyDescent="0.15">
      <c r="B18" s="134">
        <f t="shared" si="0"/>
        <v>46082</v>
      </c>
      <c r="C18" s="62">
        <v>71.2</v>
      </c>
      <c r="D18" s="136">
        <v>3012</v>
      </c>
      <c r="E18" s="135">
        <v>16465</v>
      </c>
      <c r="F18" s="72">
        <v>8</v>
      </c>
      <c r="G18" s="32"/>
    </row>
    <row r="19" spans="2:7" ht="13" x14ac:dyDescent="0.15">
      <c r="B19" s="134">
        <f t="shared" si="0"/>
        <v>46083</v>
      </c>
      <c r="C19" s="62">
        <v>71.400000000000006</v>
      </c>
      <c r="D19" s="136">
        <v>2850</v>
      </c>
      <c r="E19" s="135">
        <v>18777</v>
      </c>
      <c r="F19" s="72">
        <v>7.5</v>
      </c>
      <c r="G19" s="32"/>
    </row>
    <row r="20" spans="2:7" ht="13" x14ac:dyDescent="0.15">
      <c r="B20" s="134">
        <f t="shared" si="0"/>
        <v>46084</v>
      </c>
      <c r="C20" s="62">
        <v>71.3</v>
      </c>
      <c r="D20" s="135">
        <v>3041</v>
      </c>
      <c r="E20" s="135">
        <v>12396</v>
      </c>
      <c r="F20" s="72">
        <v>8</v>
      </c>
      <c r="G20" s="32"/>
    </row>
    <row r="21" spans="2:7" ht="13" x14ac:dyDescent="0.15">
      <c r="B21" s="134">
        <f t="shared" si="0"/>
        <v>46085</v>
      </c>
      <c r="C21" s="62">
        <v>71.7</v>
      </c>
      <c r="D21" s="135">
        <v>3011</v>
      </c>
      <c r="E21" s="135">
        <v>9317</v>
      </c>
      <c r="F21" s="72">
        <v>8</v>
      </c>
      <c r="G21" s="32"/>
    </row>
    <row r="22" spans="2:7" ht="13" x14ac:dyDescent="0.15">
      <c r="B22" s="134">
        <f t="shared" si="0"/>
        <v>46086</v>
      </c>
      <c r="C22" s="62">
        <v>72.400000000000006</v>
      </c>
      <c r="D22" s="135">
        <v>3160</v>
      </c>
      <c r="E22" s="135">
        <v>10229</v>
      </c>
      <c r="F22" s="72">
        <v>8</v>
      </c>
      <c r="G22" s="32"/>
    </row>
    <row r="23" spans="2:7" ht="13" x14ac:dyDescent="0.15">
      <c r="B23" s="134">
        <f t="shared" si="0"/>
        <v>46087</v>
      </c>
      <c r="C23" s="62">
        <v>72.099999999999994</v>
      </c>
      <c r="D23" s="135">
        <v>3191</v>
      </c>
      <c r="E23" s="135">
        <v>11341</v>
      </c>
      <c r="F23" s="72">
        <v>7</v>
      </c>
      <c r="G23" s="32"/>
    </row>
    <row r="24" spans="2:7" ht="13" x14ac:dyDescent="0.15">
      <c r="B24" s="134">
        <f t="shared" si="0"/>
        <v>46088</v>
      </c>
      <c r="C24" s="62">
        <v>71.900000000000006</v>
      </c>
      <c r="D24" s="135">
        <v>3424</v>
      </c>
      <c r="E24" s="135">
        <v>11412</v>
      </c>
      <c r="F24" s="72">
        <v>7</v>
      </c>
      <c r="G24" s="32"/>
    </row>
    <row r="25" spans="2:7" ht="13" x14ac:dyDescent="0.15">
      <c r="B25" s="134">
        <f t="shared" si="0"/>
        <v>46089</v>
      </c>
      <c r="C25" s="62">
        <v>72.8</v>
      </c>
      <c r="D25" s="135">
        <v>3343</v>
      </c>
      <c r="E25" s="135">
        <v>9548</v>
      </c>
      <c r="F25" s="72">
        <v>8</v>
      </c>
      <c r="G25" s="32"/>
    </row>
    <row r="26" spans="2:7" ht="13" x14ac:dyDescent="0.15">
      <c r="B26" s="134">
        <f t="shared" si="0"/>
        <v>46090</v>
      </c>
      <c r="C26" s="62">
        <v>72.599999999999994</v>
      </c>
      <c r="D26" s="62">
        <v>2650</v>
      </c>
      <c r="E26" s="135">
        <v>4510</v>
      </c>
      <c r="F26" s="72">
        <v>7.5</v>
      </c>
      <c r="G26" s="32"/>
    </row>
    <row r="27" spans="2:7" ht="13" x14ac:dyDescent="0.15">
      <c r="B27" s="134">
        <f t="shared" si="0"/>
        <v>46091</v>
      </c>
      <c r="C27" s="62">
        <v>73.099999999999994</v>
      </c>
      <c r="D27" s="62">
        <v>3481</v>
      </c>
      <c r="E27" s="135">
        <v>9004</v>
      </c>
      <c r="F27" s="72">
        <v>7.5</v>
      </c>
      <c r="G27" s="32"/>
    </row>
    <row r="28" spans="2:7" ht="13" x14ac:dyDescent="0.15">
      <c r="B28" s="134">
        <f t="shared" si="0"/>
        <v>46092</v>
      </c>
      <c r="C28" s="62">
        <v>72.3</v>
      </c>
      <c r="D28" s="62">
        <v>3320</v>
      </c>
      <c r="E28" s="135">
        <v>14335</v>
      </c>
      <c r="F28" s="72">
        <v>8</v>
      </c>
      <c r="G28" s="32"/>
    </row>
    <row r="29" spans="2:7" ht="13" x14ac:dyDescent="0.15">
      <c r="B29" s="134">
        <f t="shared" si="0"/>
        <v>46093</v>
      </c>
      <c r="C29" s="62">
        <v>72.5</v>
      </c>
      <c r="D29" s="62">
        <v>3615</v>
      </c>
      <c r="E29" s="135">
        <v>10808</v>
      </c>
      <c r="F29" s="72">
        <v>8</v>
      </c>
      <c r="G29" s="32"/>
    </row>
    <row r="30" spans="2:7" ht="13" x14ac:dyDescent="0.15">
      <c r="B30" s="134">
        <f t="shared" si="0"/>
        <v>46094</v>
      </c>
      <c r="C30" s="62">
        <v>72.400000000000006</v>
      </c>
      <c r="D30" s="62">
        <v>3318</v>
      </c>
      <c r="E30" s="135">
        <v>14417</v>
      </c>
      <c r="F30" s="72">
        <v>8</v>
      </c>
      <c r="G30" s="32"/>
    </row>
    <row r="31" spans="2:7" ht="13" x14ac:dyDescent="0.15">
      <c r="B31" s="134">
        <f t="shared" si="0"/>
        <v>46095</v>
      </c>
      <c r="C31" s="62">
        <v>72.599999999999994</v>
      </c>
      <c r="D31" s="62">
        <v>3118</v>
      </c>
      <c r="E31" s="135">
        <v>8907</v>
      </c>
      <c r="F31" s="72">
        <v>8</v>
      </c>
      <c r="G31" s="32"/>
    </row>
    <row r="32" spans="2:7" ht="13" x14ac:dyDescent="0.15">
      <c r="B32" s="134">
        <f t="shared" si="0"/>
        <v>46096</v>
      </c>
      <c r="C32" s="62">
        <v>73.3</v>
      </c>
      <c r="D32" s="62">
        <v>3450</v>
      </c>
      <c r="E32" s="135">
        <v>14876</v>
      </c>
      <c r="F32" s="72">
        <v>8</v>
      </c>
      <c r="G32" s="32"/>
    </row>
    <row r="33" spans="2:7" ht="13" x14ac:dyDescent="0.15">
      <c r="B33" s="134">
        <f t="shared" si="0"/>
        <v>46097</v>
      </c>
      <c r="C33" s="62">
        <v>72.8</v>
      </c>
      <c r="D33" s="62">
        <v>2900</v>
      </c>
      <c r="E33" s="135">
        <v>11815</v>
      </c>
      <c r="F33" s="72">
        <v>6</v>
      </c>
      <c r="G33" s="32"/>
    </row>
    <row r="34" spans="2:7" ht="13" x14ac:dyDescent="0.15">
      <c r="B34" s="134">
        <f t="shared" si="0"/>
        <v>46098</v>
      </c>
      <c r="C34" s="62">
        <v>73.099999999999994</v>
      </c>
      <c r="D34" s="62">
        <v>3296</v>
      </c>
      <c r="E34" s="135">
        <v>10642</v>
      </c>
      <c r="F34" s="72">
        <v>7</v>
      </c>
      <c r="G34" s="32"/>
    </row>
    <row r="35" spans="2:7" ht="13" x14ac:dyDescent="0.15">
      <c r="B35" s="134">
        <f t="shared" si="0"/>
        <v>46099</v>
      </c>
      <c r="C35" s="62">
        <v>73.599999999999994</v>
      </c>
      <c r="D35" s="62">
        <v>3229</v>
      </c>
      <c r="E35" s="135">
        <v>14169</v>
      </c>
      <c r="F35" s="72">
        <v>7.5</v>
      </c>
      <c r="G35" s="32"/>
    </row>
    <row r="36" spans="2:7" ht="13" x14ac:dyDescent="0.15">
      <c r="B36" s="134">
        <f t="shared" si="0"/>
        <v>46100</v>
      </c>
      <c r="C36" s="62">
        <v>73.8</v>
      </c>
      <c r="D36" s="62">
        <v>3489</v>
      </c>
      <c r="E36" s="135">
        <v>8028</v>
      </c>
      <c r="F36" s="72">
        <v>7.5</v>
      </c>
      <c r="G36" s="32"/>
    </row>
    <row r="37" spans="2:7" ht="13" x14ac:dyDescent="0.15">
      <c r="B37" s="134">
        <f t="shared" si="0"/>
        <v>46101</v>
      </c>
      <c r="C37" s="62">
        <v>73.599999999999994</v>
      </c>
      <c r="D37" s="62">
        <v>3150</v>
      </c>
      <c r="E37" s="62">
        <v>13882</v>
      </c>
      <c r="F37" s="72"/>
      <c r="G37" s="32"/>
    </row>
    <row r="38" spans="2:7" ht="13" x14ac:dyDescent="0.15">
      <c r="B38" s="134">
        <f t="shared" si="0"/>
        <v>46102</v>
      </c>
      <c r="C38" s="62">
        <v>74.099999999999994</v>
      </c>
      <c r="D38" s="62">
        <v>3200</v>
      </c>
      <c r="E38" s="135">
        <v>9415</v>
      </c>
      <c r="F38" s="72"/>
      <c r="G38" s="32"/>
    </row>
    <row r="39" spans="2:7" ht="13" x14ac:dyDescent="0.15">
      <c r="B39" s="134">
        <f t="shared" si="0"/>
        <v>46103</v>
      </c>
      <c r="C39" s="62">
        <v>73.3</v>
      </c>
      <c r="D39" s="62">
        <v>3050</v>
      </c>
      <c r="E39" s="135">
        <v>12006</v>
      </c>
      <c r="F39" s="72"/>
      <c r="G39" s="32"/>
    </row>
    <row r="40" spans="2:7" ht="13" x14ac:dyDescent="0.15">
      <c r="B40" s="134">
        <f t="shared" si="0"/>
        <v>46104</v>
      </c>
      <c r="C40" s="62">
        <v>73.5</v>
      </c>
      <c r="D40" s="62">
        <v>3180</v>
      </c>
      <c r="E40" s="135">
        <v>11916</v>
      </c>
      <c r="F40" s="72"/>
      <c r="G40" s="32"/>
    </row>
    <row r="41" spans="2:7" ht="13" x14ac:dyDescent="0.15">
      <c r="B41" s="134">
        <f t="shared" si="0"/>
        <v>46105</v>
      </c>
      <c r="C41" s="62">
        <v>73.8</v>
      </c>
      <c r="D41" s="62">
        <v>3605</v>
      </c>
      <c r="E41" s="135">
        <v>15239</v>
      </c>
      <c r="F41" s="72"/>
      <c r="G41" s="32"/>
    </row>
    <row r="42" spans="2:7" ht="13" x14ac:dyDescent="0.15">
      <c r="B42" s="134">
        <f t="shared" si="0"/>
        <v>46106</v>
      </c>
      <c r="C42" s="62">
        <v>73.8</v>
      </c>
      <c r="D42" s="62">
        <v>3548</v>
      </c>
      <c r="E42" s="135">
        <v>10567</v>
      </c>
      <c r="F42" s="72"/>
      <c r="G42" s="32"/>
    </row>
    <row r="43" spans="2:7" ht="13" x14ac:dyDescent="0.15">
      <c r="B43" s="134">
        <f t="shared" si="0"/>
        <v>46107</v>
      </c>
      <c r="C43" s="62">
        <v>73.599999999999994</v>
      </c>
      <c r="D43" s="62">
        <v>3205</v>
      </c>
      <c r="E43" s="135">
        <v>11421</v>
      </c>
      <c r="F43" s="72"/>
      <c r="G43" s="32"/>
    </row>
    <row r="44" spans="2:7" ht="13" x14ac:dyDescent="0.15">
      <c r="B44" s="134">
        <f t="shared" si="0"/>
        <v>46108</v>
      </c>
      <c r="C44" s="62">
        <v>73.7</v>
      </c>
      <c r="D44" s="62">
        <v>3340</v>
      </c>
      <c r="E44" s="135">
        <v>10828</v>
      </c>
      <c r="F44" s="72"/>
      <c r="G44" s="32"/>
    </row>
    <row r="45" spans="2:7" ht="13" x14ac:dyDescent="0.15">
      <c r="B45" s="134">
        <f t="shared" si="0"/>
        <v>46109</v>
      </c>
      <c r="C45" s="62">
        <v>73.5</v>
      </c>
      <c r="D45" s="62">
        <v>3395</v>
      </c>
      <c r="E45" s="135">
        <v>5709</v>
      </c>
      <c r="F45" s="72"/>
      <c r="G45" s="32"/>
    </row>
    <row r="46" spans="2:7" ht="13" x14ac:dyDescent="0.15">
      <c r="B46" s="134">
        <f t="shared" si="0"/>
        <v>46110</v>
      </c>
      <c r="C46" s="62">
        <v>73.599999999999994</v>
      </c>
      <c r="D46" s="62">
        <v>3050</v>
      </c>
      <c r="E46" s="135">
        <v>9701</v>
      </c>
      <c r="F46" s="72"/>
      <c r="G46" s="32"/>
    </row>
    <row r="47" spans="2:7" ht="13" x14ac:dyDescent="0.15">
      <c r="B47" s="134">
        <f t="shared" si="0"/>
        <v>46111</v>
      </c>
      <c r="C47" s="62">
        <v>73.8</v>
      </c>
      <c r="D47" s="62">
        <v>3120</v>
      </c>
      <c r="E47" s="135">
        <v>8965</v>
      </c>
      <c r="F47" s="72"/>
      <c r="G47" s="32"/>
    </row>
    <row r="48" spans="2:7" ht="13" x14ac:dyDescent="0.15">
      <c r="B48" s="134">
        <f t="shared" si="0"/>
        <v>46112</v>
      </c>
      <c r="C48" s="62">
        <v>74.3</v>
      </c>
      <c r="D48" s="62">
        <v>3248</v>
      </c>
      <c r="E48" s="135">
        <v>10019</v>
      </c>
      <c r="F48" s="72"/>
      <c r="G48" s="32"/>
    </row>
    <row r="49" spans="2:7" ht="13" x14ac:dyDescent="0.15">
      <c r="B49" s="134">
        <f t="shared" si="0"/>
        <v>46113</v>
      </c>
      <c r="C49" s="62">
        <v>74.099999999999994</v>
      </c>
      <c r="D49" s="62">
        <v>3300</v>
      </c>
      <c r="E49" s="135">
        <v>11181</v>
      </c>
      <c r="F49" s="72"/>
      <c r="G49" s="32"/>
    </row>
    <row r="50" spans="2:7" ht="13" x14ac:dyDescent="0.15">
      <c r="B50" s="134">
        <f t="shared" si="0"/>
        <v>46114</v>
      </c>
      <c r="C50" s="62">
        <v>74.599999999999994</v>
      </c>
      <c r="D50" s="62">
        <v>3412</v>
      </c>
      <c r="E50" s="135">
        <v>13313</v>
      </c>
      <c r="F50" s="64"/>
      <c r="G50" s="32"/>
    </row>
    <row r="51" spans="2:7" ht="13" x14ac:dyDescent="0.15">
      <c r="B51" s="134">
        <f t="shared" si="0"/>
        <v>46115</v>
      </c>
      <c r="C51" s="62">
        <v>74.8</v>
      </c>
      <c r="D51" s="62">
        <v>3381</v>
      </c>
      <c r="E51" s="135">
        <v>13420</v>
      </c>
      <c r="F51" s="64"/>
      <c r="G51" s="32"/>
    </row>
    <row r="52" spans="2:7" ht="13" x14ac:dyDescent="0.15">
      <c r="B52" s="134">
        <f t="shared" si="0"/>
        <v>46116</v>
      </c>
      <c r="C52" s="62">
        <v>75.3</v>
      </c>
      <c r="D52" s="62">
        <v>3405</v>
      </c>
      <c r="E52" s="135"/>
      <c r="F52" s="64"/>
      <c r="G52" s="32"/>
    </row>
    <row r="53" spans="2:7" ht="13" x14ac:dyDescent="0.15">
      <c r="B53" s="134">
        <f t="shared" si="0"/>
        <v>46117</v>
      </c>
      <c r="C53" s="62">
        <v>74.900000000000006</v>
      </c>
      <c r="D53" s="135">
        <v>3109</v>
      </c>
      <c r="E53" s="135"/>
      <c r="F53" s="64"/>
      <c r="G53" s="32"/>
    </row>
    <row r="54" spans="2:7" ht="13" x14ac:dyDescent="0.15">
      <c r="B54" s="134">
        <f t="shared" si="0"/>
        <v>46118</v>
      </c>
      <c r="C54" s="62">
        <v>75.400000000000006</v>
      </c>
      <c r="D54" s="62">
        <v>3408</v>
      </c>
      <c r="E54" s="135"/>
      <c r="F54" s="64"/>
      <c r="G54" s="32"/>
    </row>
    <row r="55" spans="2:7" ht="13" x14ac:dyDescent="0.15">
      <c r="B55" s="134">
        <f t="shared" si="0"/>
        <v>46119</v>
      </c>
      <c r="C55" s="62">
        <v>75.099999999999994</v>
      </c>
      <c r="D55" s="62">
        <v>3225</v>
      </c>
      <c r="E55" s="135"/>
      <c r="F55" s="64"/>
      <c r="G55" s="32"/>
    </row>
    <row r="56" spans="2:7" ht="13" x14ac:dyDescent="0.15">
      <c r="B56" s="134">
        <f t="shared" si="0"/>
        <v>46120</v>
      </c>
      <c r="C56" s="62">
        <v>74.8</v>
      </c>
      <c r="D56" s="62">
        <v>3002</v>
      </c>
      <c r="E56" s="135"/>
      <c r="F56" s="64"/>
      <c r="G56" s="32"/>
    </row>
    <row r="57" spans="2:7" ht="13" x14ac:dyDescent="0.15">
      <c r="B57" s="134">
        <f t="shared" si="0"/>
        <v>46121</v>
      </c>
      <c r="C57" s="62">
        <v>75.599999999999994</v>
      </c>
      <c r="D57" s="62">
        <v>3441</v>
      </c>
      <c r="E57" s="135"/>
      <c r="F57" s="64"/>
      <c r="G57" s="32"/>
    </row>
    <row r="58" spans="2:7" ht="13" x14ac:dyDescent="0.15">
      <c r="B58" s="134">
        <f t="shared" si="0"/>
        <v>46122</v>
      </c>
      <c r="C58" s="62">
        <v>75.2</v>
      </c>
      <c r="D58" s="62">
        <v>3205</v>
      </c>
      <c r="E58" s="135"/>
      <c r="F58" s="64"/>
      <c r="G58" s="32"/>
    </row>
    <row r="59" spans="2:7" ht="13" x14ac:dyDescent="0.15">
      <c r="B59" s="134">
        <f t="shared" si="0"/>
        <v>46123</v>
      </c>
      <c r="C59" s="62">
        <v>76.3</v>
      </c>
      <c r="D59" s="62">
        <v>3382</v>
      </c>
      <c r="E59" s="135"/>
      <c r="F59" s="64"/>
      <c r="G59" s="32"/>
    </row>
    <row r="60" spans="2:7" ht="13" x14ac:dyDescent="0.15">
      <c r="B60" s="134">
        <f t="shared" si="0"/>
        <v>46124</v>
      </c>
      <c r="C60" s="62">
        <v>76.099999999999994</v>
      </c>
      <c r="D60" s="62">
        <v>3205</v>
      </c>
      <c r="E60" s="135"/>
      <c r="F60" s="64"/>
      <c r="G60" s="32"/>
    </row>
    <row r="61" spans="2:7" ht="13" x14ac:dyDescent="0.15">
      <c r="B61" s="134">
        <f t="shared" si="0"/>
        <v>46125</v>
      </c>
      <c r="C61" s="62">
        <v>76.2</v>
      </c>
      <c r="D61" s="62">
        <v>3335</v>
      </c>
      <c r="E61" s="135"/>
      <c r="F61" s="64"/>
      <c r="G61" s="32"/>
    </row>
    <row r="62" spans="2:7" ht="13" x14ac:dyDescent="0.15">
      <c r="B62" s="134">
        <f t="shared" si="0"/>
        <v>46126</v>
      </c>
      <c r="C62" s="62">
        <v>75.8</v>
      </c>
      <c r="D62" s="62">
        <v>3123</v>
      </c>
      <c r="E62" s="135"/>
      <c r="F62" s="64"/>
      <c r="G62" s="32"/>
    </row>
    <row r="63" spans="2:7" ht="13" x14ac:dyDescent="0.15">
      <c r="B63" s="134">
        <f t="shared" si="0"/>
        <v>46127</v>
      </c>
      <c r="C63" s="62">
        <v>75.900000000000006</v>
      </c>
      <c r="D63" s="62">
        <v>3302</v>
      </c>
      <c r="E63" s="135"/>
      <c r="F63" s="64"/>
      <c r="G63" s="32"/>
    </row>
    <row r="64" spans="2:7" ht="13" x14ac:dyDescent="0.15">
      <c r="B64" s="134">
        <f t="shared" si="0"/>
        <v>46128</v>
      </c>
      <c r="C64" s="62">
        <v>76.400000000000006</v>
      </c>
      <c r="D64" s="62">
        <v>3195</v>
      </c>
      <c r="E64" s="62"/>
      <c r="F64" s="64"/>
      <c r="G64" s="32"/>
    </row>
    <row r="65" spans="2:7" ht="13" x14ac:dyDescent="0.15">
      <c r="B65" s="134">
        <f t="shared" si="0"/>
        <v>46129</v>
      </c>
      <c r="C65" s="62">
        <v>75.900000000000006</v>
      </c>
      <c r="D65" s="62">
        <v>3258</v>
      </c>
      <c r="E65" s="62"/>
      <c r="F65" s="64"/>
      <c r="G65" s="32"/>
    </row>
    <row r="66" spans="2:7" ht="13" x14ac:dyDescent="0.15">
      <c r="B66" s="134">
        <f t="shared" si="0"/>
        <v>46130</v>
      </c>
      <c r="C66" s="62">
        <v>75.099999999999994</v>
      </c>
      <c r="D66" s="62">
        <v>3025</v>
      </c>
      <c r="E66" s="135"/>
      <c r="F66" s="64"/>
      <c r="G66" s="32"/>
    </row>
    <row r="67" spans="2:7" ht="13" x14ac:dyDescent="0.15">
      <c r="B67" s="134">
        <f t="shared" si="0"/>
        <v>46131</v>
      </c>
      <c r="C67" s="62">
        <v>75.3</v>
      </c>
      <c r="D67" s="62">
        <v>2950</v>
      </c>
      <c r="E67" s="135"/>
      <c r="F67" s="64"/>
      <c r="G67" s="32"/>
    </row>
    <row r="68" spans="2:7" ht="13" x14ac:dyDescent="0.15">
      <c r="B68" s="134">
        <f t="shared" si="0"/>
        <v>46132</v>
      </c>
      <c r="C68" s="62">
        <v>74.099999999999994</v>
      </c>
      <c r="D68" s="62">
        <v>2215</v>
      </c>
      <c r="E68" s="135"/>
      <c r="F68" s="64"/>
      <c r="G68" s="32"/>
    </row>
    <row r="69" spans="2:7" ht="13" x14ac:dyDescent="0.15">
      <c r="B69" s="134">
        <f t="shared" si="0"/>
        <v>46133</v>
      </c>
      <c r="C69" s="62">
        <v>75</v>
      </c>
      <c r="D69" s="62">
        <v>3342</v>
      </c>
      <c r="E69" s="135"/>
      <c r="F69" s="64"/>
      <c r="G69" s="32"/>
    </row>
    <row r="70" spans="2:7" ht="13" x14ac:dyDescent="0.15">
      <c r="B70" s="134">
        <f t="shared" si="0"/>
        <v>46134</v>
      </c>
      <c r="C70" s="62">
        <v>75.5</v>
      </c>
      <c r="D70" s="62">
        <v>3402</v>
      </c>
      <c r="E70" s="135"/>
      <c r="F70" s="64"/>
      <c r="G70" s="32"/>
    </row>
    <row r="71" spans="2:7" ht="13" x14ac:dyDescent="0.15">
      <c r="B71" s="134">
        <f t="shared" si="0"/>
        <v>46135</v>
      </c>
      <c r="C71" s="62">
        <v>76.099999999999994</v>
      </c>
      <c r="D71" s="62">
        <v>3258</v>
      </c>
      <c r="E71" s="135"/>
      <c r="F71" s="64"/>
      <c r="G71" s="32"/>
    </row>
    <row r="72" spans="2:7" ht="13" x14ac:dyDescent="0.15">
      <c r="B72" s="134">
        <f t="shared" si="0"/>
        <v>46136</v>
      </c>
      <c r="C72" s="62">
        <v>75.900000000000006</v>
      </c>
      <c r="D72" s="62">
        <v>3462</v>
      </c>
      <c r="E72" s="62"/>
      <c r="F72" s="64"/>
      <c r="G72" s="32"/>
    </row>
    <row r="73" spans="2:7" ht="13" x14ac:dyDescent="0.15">
      <c r="B73" s="134">
        <f t="shared" si="0"/>
        <v>46137</v>
      </c>
      <c r="C73" s="62">
        <v>76.400000000000006</v>
      </c>
      <c r="D73" s="62">
        <v>3244</v>
      </c>
      <c r="E73" s="135"/>
      <c r="F73" s="64"/>
      <c r="G73" s="32"/>
    </row>
    <row r="74" spans="2:7" ht="13" x14ac:dyDescent="0.15">
      <c r="B74" s="134">
        <f t="shared" si="0"/>
        <v>46138</v>
      </c>
      <c r="C74" s="62">
        <v>76.3</v>
      </c>
      <c r="D74" s="62">
        <v>3120</v>
      </c>
      <c r="E74" s="135"/>
      <c r="F74" s="64"/>
      <c r="G74" s="32"/>
    </row>
    <row r="75" spans="2:7" ht="13" x14ac:dyDescent="0.15">
      <c r="B75" s="134">
        <f t="shared" si="0"/>
        <v>46139</v>
      </c>
      <c r="C75" s="62">
        <v>76.5</v>
      </c>
      <c r="D75" s="62">
        <v>3340</v>
      </c>
      <c r="E75" s="135"/>
      <c r="F75" s="64"/>
      <c r="G75" s="32"/>
    </row>
    <row r="76" spans="2:7" ht="13" x14ac:dyDescent="0.15">
      <c r="B76" s="134">
        <f t="shared" si="0"/>
        <v>46140</v>
      </c>
      <c r="C76" s="62">
        <v>76.099999999999994</v>
      </c>
      <c r="D76" s="62">
        <v>3452</v>
      </c>
      <c r="E76" s="135"/>
      <c r="F76" s="64"/>
      <c r="G76" s="32"/>
    </row>
    <row r="77" spans="2:7" ht="13" x14ac:dyDescent="0.15">
      <c r="B77" s="134">
        <f t="shared" si="0"/>
        <v>46141</v>
      </c>
      <c r="C77" s="62">
        <v>77.2</v>
      </c>
      <c r="D77" s="62">
        <v>3208</v>
      </c>
      <c r="E77" s="62"/>
      <c r="F77" s="64"/>
      <c r="G77" s="32"/>
    </row>
    <row r="78" spans="2:7" ht="13" x14ac:dyDescent="0.15">
      <c r="B78" s="134">
        <f t="shared" si="0"/>
        <v>46142</v>
      </c>
      <c r="C78" s="62">
        <v>76.8</v>
      </c>
      <c r="D78" s="62">
        <v>3385</v>
      </c>
      <c r="E78" s="62"/>
      <c r="F78" s="64"/>
      <c r="G78" s="32"/>
    </row>
    <row r="79" spans="2:7" ht="13" x14ac:dyDescent="0.15">
      <c r="B79" s="134">
        <f t="shared" si="0"/>
        <v>46143</v>
      </c>
      <c r="C79" s="62">
        <v>76.5</v>
      </c>
      <c r="D79" s="62">
        <v>3250</v>
      </c>
      <c r="E79" s="135"/>
      <c r="F79" s="64"/>
      <c r="G79" s="32"/>
    </row>
    <row r="80" spans="2:7" ht="13" x14ac:dyDescent="0.15">
      <c r="B80" s="134">
        <f t="shared" si="0"/>
        <v>46144</v>
      </c>
      <c r="C80" s="62">
        <v>77.099999999999994</v>
      </c>
      <c r="D80" s="62">
        <v>3420</v>
      </c>
      <c r="E80" s="135"/>
      <c r="F80" s="64"/>
      <c r="G80" s="32"/>
    </row>
    <row r="81" spans="2:7" ht="13" x14ac:dyDescent="0.15">
      <c r="B81" s="134">
        <f t="shared" si="0"/>
        <v>46145</v>
      </c>
      <c r="C81" s="62">
        <v>76.3</v>
      </c>
      <c r="D81" s="62">
        <v>3320</v>
      </c>
      <c r="E81" s="135"/>
      <c r="F81" s="64"/>
      <c r="G81" s="32"/>
    </row>
    <row r="82" spans="2:7" ht="13" x14ac:dyDescent="0.15">
      <c r="B82" s="134">
        <f t="shared" si="0"/>
        <v>46146</v>
      </c>
      <c r="C82" s="62">
        <v>77.599999999999994</v>
      </c>
      <c r="D82" s="62">
        <v>3441</v>
      </c>
      <c r="E82" s="135"/>
      <c r="F82" s="64"/>
      <c r="G82" s="32"/>
    </row>
    <row r="83" spans="2:7" ht="13" x14ac:dyDescent="0.15">
      <c r="B83" s="134">
        <f t="shared" si="0"/>
        <v>46147</v>
      </c>
      <c r="C83" s="62">
        <v>77.3</v>
      </c>
      <c r="D83" s="62">
        <v>3486</v>
      </c>
      <c r="E83" s="135"/>
      <c r="F83" s="64"/>
      <c r="G83" s="32"/>
    </row>
    <row r="84" spans="2:7" ht="13" x14ac:dyDescent="0.15">
      <c r="B84" s="134">
        <f t="shared" si="0"/>
        <v>46148</v>
      </c>
      <c r="C84" s="62">
        <v>76.8</v>
      </c>
      <c r="D84" s="62">
        <v>3312</v>
      </c>
      <c r="E84" s="135"/>
      <c r="F84" s="64"/>
      <c r="G84" s="32"/>
    </row>
    <row r="85" spans="2:7" ht="13" x14ac:dyDescent="0.15">
      <c r="B85" s="134">
        <f t="shared" si="0"/>
        <v>46149</v>
      </c>
      <c r="C85" s="62">
        <v>76.599999999999994</v>
      </c>
      <c r="D85" s="62">
        <v>3109</v>
      </c>
      <c r="E85" s="62"/>
      <c r="F85" s="64"/>
      <c r="G85" s="32"/>
    </row>
    <row r="86" spans="2:7" ht="13" x14ac:dyDescent="0.15">
      <c r="B86" s="134">
        <f t="shared" si="0"/>
        <v>46150</v>
      </c>
      <c r="C86" s="62">
        <v>77.099999999999994</v>
      </c>
      <c r="D86" s="62">
        <v>3210</v>
      </c>
      <c r="E86" s="62"/>
      <c r="F86" s="64"/>
      <c r="G86" s="32"/>
    </row>
    <row r="87" spans="2:7" ht="13" x14ac:dyDescent="0.15">
      <c r="B87" s="134">
        <f t="shared" si="0"/>
        <v>46151</v>
      </c>
      <c r="C87" s="62">
        <v>76.3</v>
      </c>
      <c r="D87" s="62">
        <v>33851</v>
      </c>
      <c r="E87" s="62"/>
      <c r="F87" s="64"/>
      <c r="G87" s="32"/>
    </row>
    <row r="88" spans="2:7" ht="13" x14ac:dyDescent="0.15">
      <c r="B88" s="134">
        <f t="shared" si="0"/>
        <v>46152</v>
      </c>
      <c r="C88" s="62">
        <v>77.3</v>
      </c>
      <c r="D88" s="62">
        <v>3450</v>
      </c>
      <c r="E88" s="135"/>
      <c r="F88" s="64"/>
      <c r="G88" s="32"/>
    </row>
    <row r="89" spans="2:7" ht="13" x14ac:dyDescent="0.15">
      <c r="B89" s="134">
        <f t="shared" si="0"/>
        <v>46153</v>
      </c>
      <c r="C89" s="62">
        <v>77.2</v>
      </c>
      <c r="D89" s="62">
        <v>3350</v>
      </c>
      <c r="E89" s="135"/>
      <c r="F89" s="64"/>
      <c r="G89" s="32"/>
    </row>
    <row r="90" spans="2:7" ht="13" x14ac:dyDescent="0.15">
      <c r="B90" s="134">
        <f t="shared" si="0"/>
        <v>46154</v>
      </c>
      <c r="C90" s="62">
        <v>77.7</v>
      </c>
      <c r="D90" s="62">
        <v>3442</v>
      </c>
      <c r="E90" s="62"/>
      <c r="F90" s="64"/>
      <c r="G90" s="32"/>
    </row>
    <row r="91" spans="2:7" ht="13" x14ac:dyDescent="0.15">
      <c r="B91" s="134">
        <f t="shared" si="0"/>
        <v>46155</v>
      </c>
      <c r="C91" s="62">
        <v>77.8</v>
      </c>
      <c r="D91" s="62">
        <v>3408</v>
      </c>
      <c r="E91" s="135"/>
      <c r="F91" s="64"/>
      <c r="G91" s="32"/>
    </row>
    <row r="92" spans="2:7" ht="13" x14ac:dyDescent="0.15">
      <c r="B92" s="134">
        <f t="shared" si="0"/>
        <v>46156</v>
      </c>
      <c r="C92" s="62">
        <v>77.400000000000006</v>
      </c>
      <c r="D92" s="62"/>
      <c r="E92" s="62"/>
      <c r="F92" s="64"/>
      <c r="G92" s="32"/>
    </row>
    <row r="93" spans="2:7" ht="13" x14ac:dyDescent="0.15">
      <c r="B93" s="134">
        <f t="shared" si="0"/>
        <v>46157</v>
      </c>
      <c r="C93" s="62">
        <v>78.400000000000006</v>
      </c>
      <c r="D93" s="62"/>
      <c r="E93" s="135"/>
      <c r="F93" s="64"/>
      <c r="G93" s="32"/>
    </row>
    <row r="94" spans="2:7" ht="13" x14ac:dyDescent="0.15">
      <c r="B94" s="134">
        <f t="shared" si="0"/>
        <v>46158</v>
      </c>
      <c r="C94" s="62">
        <v>78.3</v>
      </c>
      <c r="D94" s="62"/>
      <c r="E94" s="135"/>
      <c r="F94" s="64"/>
      <c r="G94" s="32"/>
    </row>
    <row r="95" spans="2:7" ht="13" x14ac:dyDescent="0.15">
      <c r="B95" s="134">
        <f t="shared" si="0"/>
        <v>46159</v>
      </c>
      <c r="C95" s="62">
        <v>78.5</v>
      </c>
      <c r="D95" s="62"/>
      <c r="E95" s="135"/>
      <c r="F95" s="64"/>
      <c r="G95" s="32"/>
    </row>
    <row r="96" spans="2:7" ht="13" x14ac:dyDescent="0.15">
      <c r="B96" s="134">
        <f t="shared" si="0"/>
        <v>46160</v>
      </c>
      <c r="C96" s="62">
        <v>78.2</v>
      </c>
      <c r="D96" s="62"/>
      <c r="E96" s="62"/>
      <c r="F96" s="64"/>
      <c r="G96" s="32"/>
    </row>
    <row r="97" spans="2:7" ht="13" x14ac:dyDescent="0.15">
      <c r="B97" s="134">
        <f t="shared" si="0"/>
        <v>46161</v>
      </c>
      <c r="C97" s="149">
        <v>77.8</v>
      </c>
      <c r="D97" s="149"/>
      <c r="E97" s="139"/>
      <c r="F97" s="6"/>
      <c r="G97" s="32"/>
    </row>
    <row r="98" spans="2:7" ht="13" x14ac:dyDescent="0.15">
      <c r="B98" s="134">
        <f t="shared" si="0"/>
        <v>46162</v>
      </c>
      <c r="C98" s="149">
        <v>77</v>
      </c>
      <c r="D98" s="149"/>
      <c r="E98" s="149"/>
      <c r="F98" s="6"/>
      <c r="G98" s="32"/>
    </row>
    <row r="99" spans="2:7" ht="13" x14ac:dyDescent="0.15">
      <c r="B99" s="134">
        <f t="shared" si="0"/>
        <v>46163</v>
      </c>
      <c r="C99" s="149"/>
      <c r="D99" s="149"/>
      <c r="E99" s="149"/>
      <c r="F99" s="6"/>
      <c r="G99" s="32"/>
    </row>
    <row r="100" spans="2:7" ht="13" x14ac:dyDescent="0.15">
      <c r="B100" s="134">
        <f t="shared" si="0"/>
        <v>46164</v>
      </c>
      <c r="C100" s="149"/>
      <c r="D100" s="149"/>
      <c r="E100" s="139"/>
      <c r="F100" s="6"/>
      <c r="G100" s="32"/>
    </row>
    <row r="101" spans="2:7" ht="13" x14ac:dyDescent="0.15">
      <c r="B101" s="134">
        <f t="shared" si="0"/>
        <v>46165</v>
      </c>
      <c r="C101" s="149"/>
      <c r="D101" s="149"/>
      <c r="E101" s="139"/>
      <c r="F101" s="6"/>
      <c r="G101" s="32"/>
    </row>
    <row r="102" spans="2:7" ht="13" x14ac:dyDescent="0.15">
      <c r="B102" s="134">
        <f t="shared" si="0"/>
        <v>46166</v>
      </c>
      <c r="C102" s="149"/>
      <c r="D102" s="149"/>
      <c r="E102" s="139"/>
      <c r="F102" s="6"/>
      <c r="G102" s="32"/>
    </row>
    <row r="103" spans="2:7" ht="13" x14ac:dyDescent="0.15">
      <c r="B103" s="134">
        <f t="shared" si="0"/>
        <v>46167</v>
      </c>
      <c r="C103" s="149"/>
      <c r="D103" s="149"/>
      <c r="E103" s="139"/>
      <c r="F103" s="6"/>
      <c r="G103" s="32"/>
    </row>
    <row r="104" spans="2:7" ht="13" x14ac:dyDescent="0.15">
      <c r="B104" s="134">
        <f t="shared" si="0"/>
        <v>46168</v>
      </c>
      <c r="C104" s="149"/>
      <c r="D104" s="149"/>
      <c r="E104" s="139"/>
      <c r="F104" s="6"/>
      <c r="G104" s="32"/>
    </row>
    <row r="105" spans="2:7" ht="13" x14ac:dyDescent="0.15">
      <c r="B105" s="134">
        <f t="shared" si="0"/>
        <v>46169</v>
      </c>
      <c r="C105" s="149"/>
      <c r="D105" s="149"/>
      <c r="E105" s="139"/>
      <c r="F105" s="6"/>
      <c r="G105" s="32"/>
    </row>
    <row r="106" spans="2:7" ht="13" x14ac:dyDescent="0.15">
      <c r="B106" s="134">
        <f t="shared" si="0"/>
        <v>46170</v>
      </c>
      <c r="C106" s="149"/>
      <c r="D106" s="149"/>
      <c r="E106" s="149"/>
      <c r="F106" s="6"/>
      <c r="G106" s="32"/>
    </row>
    <row r="107" spans="2:7" ht="13" x14ac:dyDescent="0.15">
      <c r="B107" s="134">
        <f t="shared" si="0"/>
        <v>46171</v>
      </c>
      <c r="C107" s="149"/>
      <c r="D107" s="149"/>
      <c r="E107" s="139"/>
      <c r="F107" s="6"/>
      <c r="G107" s="32"/>
    </row>
    <row r="108" spans="2:7" ht="13" x14ac:dyDescent="0.15">
      <c r="B108" s="134">
        <f t="shared" si="0"/>
        <v>46172</v>
      </c>
      <c r="C108" s="149"/>
      <c r="D108" s="149"/>
      <c r="E108" s="139"/>
      <c r="F108" s="6"/>
      <c r="G108" s="32"/>
    </row>
    <row r="109" spans="2:7" ht="13" x14ac:dyDescent="0.15">
      <c r="B109" s="134">
        <f t="shared" si="0"/>
        <v>46173</v>
      </c>
      <c r="C109" s="149"/>
      <c r="D109" s="149"/>
      <c r="E109" s="139"/>
      <c r="F109" s="6"/>
      <c r="G109" s="32"/>
    </row>
    <row r="110" spans="2:7" ht="13" x14ac:dyDescent="0.15">
      <c r="B110" s="134">
        <f t="shared" si="0"/>
        <v>46174</v>
      </c>
      <c r="C110" s="149"/>
      <c r="D110" s="149"/>
      <c r="E110" s="139"/>
      <c r="F110" s="6"/>
      <c r="G110" s="32"/>
    </row>
    <row r="111" spans="2:7" ht="13" x14ac:dyDescent="0.15">
      <c r="B111" s="134">
        <f t="shared" si="0"/>
        <v>46175</v>
      </c>
      <c r="C111" s="149"/>
      <c r="D111" s="149"/>
      <c r="E111" s="139"/>
      <c r="F111" s="6"/>
      <c r="G111" s="32"/>
    </row>
    <row r="112" spans="2:7" ht="13" x14ac:dyDescent="0.15">
      <c r="B112" s="134">
        <f t="shared" si="0"/>
        <v>46176</v>
      </c>
      <c r="C112" s="149"/>
      <c r="D112" s="149"/>
      <c r="E112" s="139"/>
      <c r="F112" s="6"/>
      <c r="G112" s="32"/>
    </row>
    <row r="113" spans="2:7" ht="13" x14ac:dyDescent="0.15">
      <c r="B113" s="134">
        <f t="shared" si="0"/>
        <v>46177</v>
      </c>
      <c r="C113" s="149"/>
      <c r="D113" s="149"/>
      <c r="E113" s="139"/>
      <c r="F113" s="6"/>
      <c r="G113" s="32"/>
    </row>
    <row r="114" spans="2:7" ht="13" x14ac:dyDescent="0.15">
      <c r="B114" s="134">
        <f t="shared" si="0"/>
        <v>46178</v>
      </c>
      <c r="C114" s="149"/>
      <c r="D114" s="149"/>
      <c r="E114" s="139"/>
      <c r="F114" s="6"/>
      <c r="G114" s="32"/>
    </row>
    <row r="115" spans="2:7" ht="13" x14ac:dyDescent="0.15">
      <c r="B115" s="134">
        <f t="shared" si="0"/>
        <v>46179</v>
      </c>
      <c r="C115" s="149"/>
      <c r="D115" s="149"/>
      <c r="E115" s="139"/>
      <c r="F115" s="6"/>
      <c r="G115" s="32"/>
    </row>
    <row r="116" spans="2:7" ht="13" x14ac:dyDescent="0.15">
      <c r="B116" s="134">
        <f t="shared" si="0"/>
        <v>46180</v>
      </c>
      <c r="C116" s="149"/>
      <c r="D116" s="149"/>
      <c r="E116" s="139"/>
      <c r="F116" s="6"/>
      <c r="G116" s="32"/>
    </row>
    <row r="117" spans="2:7" ht="13" x14ac:dyDescent="0.15">
      <c r="B117" s="134">
        <f t="shared" si="0"/>
        <v>46181</v>
      </c>
      <c r="C117" s="149"/>
      <c r="D117" s="149"/>
      <c r="E117" s="139"/>
      <c r="F117" s="6"/>
      <c r="G117" s="32"/>
    </row>
    <row r="118" spans="2:7" ht="13" x14ac:dyDescent="0.15">
      <c r="B118" s="134">
        <f t="shared" si="0"/>
        <v>46182</v>
      </c>
      <c r="C118" s="149"/>
      <c r="D118" s="149"/>
      <c r="E118" s="139"/>
      <c r="F118" s="6"/>
      <c r="G118" s="32"/>
    </row>
    <row r="119" spans="2:7" ht="13" x14ac:dyDescent="0.15">
      <c r="B119" s="134">
        <f t="shared" si="0"/>
        <v>46183</v>
      </c>
      <c r="C119" s="149"/>
      <c r="D119" s="149"/>
      <c r="E119" s="139"/>
      <c r="F119" s="6"/>
      <c r="G119" s="32"/>
    </row>
    <row r="120" spans="2:7" ht="13" x14ac:dyDescent="0.15">
      <c r="B120" s="134">
        <f t="shared" si="0"/>
        <v>46184</v>
      </c>
      <c r="C120" s="149"/>
      <c r="D120" s="149"/>
      <c r="E120" s="139"/>
      <c r="F120" s="6"/>
      <c r="G120" s="32"/>
    </row>
    <row r="121" spans="2:7" ht="13" x14ac:dyDescent="0.15">
      <c r="B121" s="134">
        <f t="shared" si="0"/>
        <v>46185</v>
      </c>
      <c r="C121" s="149"/>
      <c r="D121" s="149"/>
      <c r="E121" s="139"/>
      <c r="F121" s="6"/>
      <c r="G121" s="32"/>
    </row>
    <row r="122" spans="2:7" ht="13" x14ac:dyDescent="0.15">
      <c r="B122" s="134">
        <f t="shared" si="0"/>
        <v>46186</v>
      </c>
      <c r="C122" s="149"/>
      <c r="D122" s="149"/>
      <c r="E122" s="139"/>
      <c r="F122" s="6"/>
      <c r="G122" s="32"/>
    </row>
    <row r="123" spans="2:7" ht="13" x14ac:dyDescent="0.15">
      <c r="B123" s="134">
        <f t="shared" si="0"/>
        <v>46187</v>
      </c>
      <c r="C123" s="149"/>
      <c r="D123" s="149"/>
      <c r="E123" s="139"/>
      <c r="F123" s="6"/>
      <c r="G123" s="32"/>
    </row>
    <row r="124" spans="2:7" ht="13" x14ac:dyDescent="0.15">
      <c r="B124" s="134">
        <f t="shared" si="0"/>
        <v>46188</v>
      </c>
      <c r="C124" s="149">
        <v>77.900000000000006</v>
      </c>
      <c r="D124" s="149"/>
      <c r="E124" s="139"/>
      <c r="F124" s="6"/>
      <c r="G124" s="32"/>
    </row>
    <row r="125" spans="2:7" ht="13" x14ac:dyDescent="0.15">
      <c r="B125" s="134">
        <f t="shared" si="0"/>
        <v>46189</v>
      </c>
      <c r="C125" s="149">
        <v>77.8</v>
      </c>
      <c r="D125" s="149"/>
      <c r="E125" s="139"/>
      <c r="F125" s="6"/>
      <c r="G125" s="32"/>
    </row>
    <row r="126" spans="2:7" ht="13" x14ac:dyDescent="0.15">
      <c r="B126" s="134">
        <f t="shared" si="0"/>
        <v>46190</v>
      </c>
      <c r="C126" s="149">
        <v>78.5</v>
      </c>
      <c r="D126" s="149"/>
      <c r="E126" s="139"/>
      <c r="F126" s="6"/>
      <c r="G126" s="32"/>
    </row>
    <row r="127" spans="2:7" ht="13" x14ac:dyDescent="0.15">
      <c r="B127" s="134">
        <f t="shared" si="0"/>
        <v>46191</v>
      </c>
      <c r="C127" s="149">
        <v>78.400000000000006</v>
      </c>
      <c r="D127" s="149"/>
      <c r="E127" s="139"/>
      <c r="F127" s="6"/>
      <c r="G127" s="32"/>
    </row>
    <row r="128" spans="2:7" ht="13" x14ac:dyDescent="0.15">
      <c r="B128" s="134">
        <f t="shared" si="0"/>
        <v>46192</v>
      </c>
      <c r="C128" s="149">
        <v>78.900000000000006</v>
      </c>
      <c r="D128" s="149"/>
      <c r="E128" s="139"/>
      <c r="F128" s="6"/>
      <c r="G128" s="32"/>
    </row>
    <row r="129" spans="2:7" ht="13" x14ac:dyDescent="0.15">
      <c r="B129" s="134">
        <f t="shared" si="0"/>
        <v>46193</v>
      </c>
      <c r="C129" s="149">
        <v>78.900000000000006</v>
      </c>
      <c r="D129" s="149"/>
      <c r="E129" s="139"/>
      <c r="F129" s="6"/>
      <c r="G129" s="32"/>
    </row>
    <row r="130" spans="2:7" ht="13" x14ac:dyDescent="0.15">
      <c r="B130" s="134">
        <f t="shared" si="0"/>
        <v>46194</v>
      </c>
      <c r="C130" s="149">
        <v>79</v>
      </c>
      <c r="D130" s="149"/>
      <c r="E130" s="139"/>
      <c r="F130" s="6"/>
      <c r="G130" s="32"/>
    </row>
    <row r="131" spans="2:7" ht="13" x14ac:dyDescent="0.15">
      <c r="B131" s="134">
        <f t="shared" si="0"/>
        <v>46195</v>
      </c>
      <c r="C131" s="149">
        <v>78.7</v>
      </c>
      <c r="D131" s="149"/>
      <c r="E131" s="149"/>
      <c r="F131" s="6"/>
      <c r="G131" s="32"/>
    </row>
    <row r="132" spans="2:7" ht="13" x14ac:dyDescent="0.15">
      <c r="B132" s="134">
        <f t="shared" si="0"/>
        <v>46196</v>
      </c>
      <c r="C132" s="149">
        <v>79.099999999999994</v>
      </c>
      <c r="D132" s="149"/>
      <c r="E132" s="149"/>
      <c r="F132" s="6"/>
      <c r="G132" s="32"/>
    </row>
    <row r="133" spans="2:7" ht="13" x14ac:dyDescent="0.15">
      <c r="B133" s="134">
        <f t="shared" si="0"/>
        <v>46197</v>
      </c>
      <c r="C133" s="149">
        <v>79.3</v>
      </c>
      <c r="D133" s="149"/>
      <c r="E133" s="149"/>
      <c r="F133" s="6"/>
      <c r="G133" s="32"/>
    </row>
    <row r="134" spans="2:7" ht="13" x14ac:dyDescent="0.15">
      <c r="B134" s="134">
        <f t="shared" si="0"/>
        <v>46198</v>
      </c>
      <c r="C134" s="149">
        <v>79.099999999999994</v>
      </c>
      <c r="D134" s="149"/>
      <c r="E134" s="149"/>
      <c r="F134" s="6"/>
      <c r="G134" s="32"/>
    </row>
    <row r="135" spans="2:7" ht="13" x14ac:dyDescent="0.15">
      <c r="B135" s="134">
        <f t="shared" si="0"/>
        <v>46199</v>
      </c>
      <c r="C135" s="149">
        <v>79.400000000000006</v>
      </c>
      <c r="D135" s="149"/>
      <c r="E135" s="149"/>
      <c r="F135" s="6"/>
      <c r="G135" s="32"/>
    </row>
    <row r="136" spans="2:7" ht="13" x14ac:dyDescent="0.15">
      <c r="B136" s="134">
        <f t="shared" si="0"/>
        <v>46200</v>
      </c>
      <c r="C136" s="149">
        <v>79.5</v>
      </c>
      <c r="D136" s="149"/>
      <c r="E136" s="149"/>
      <c r="F136" s="6"/>
      <c r="G136" s="32"/>
    </row>
    <row r="137" spans="2:7" ht="13" x14ac:dyDescent="0.15">
      <c r="B137" s="134">
        <f t="shared" si="0"/>
        <v>46201</v>
      </c>
      <c r="C137" s="149">
        <v>80.099999999999994</v>
      </c>
      <c r="D137" s="149"/>
      <c r="E137" s="139"/>
      <c r="F137" s="6"/>
      <c r="G137" s="32"/>
    </row>
    <row r="138" spans="2:7" ht="13" x14ac:dyDescent="0.15">
      <c r="B138" s="134">
        <f t="shared" si="0"/>
        <v>46202</v>
      </c>
      <c r="C138" s="149">
        <v>80.400000000000006</v>
      </c>
      <c r="D138" s="149"/>
      <c r="E138" s="139"/>
      <c r="F138" s="6"/>
      <c r="G138" s="32"/>
    </row>
    <row r="139" spans="2:7" ht="13" x14ac:dyDescent="0.15">
      <c r="B139" s="134">
        <f t="shared" si="0"/>
        <v>46203</v>
      </c>
      <c r="C139" s="149">
        <v>79.8</v>
      </c>
      <c r="D139" s="149"/>
      <c r="E139" s="139"/>
      <c r="F139" s="6"/>
      <c r="G139" s="32"/>
    </row>
    <row r="140" spans="2:7" ht="13" x14ac:dyDescent="0.15">
      <c r="B140" s="134">
        <f t="shared" si="0"/>
        <v>46204</v>
      </c>
      <c r="C140" s="149">
        <v>80.099999999999994</v>
      </c>
      <c r="D140" s="149"/>
      <c r="E140" s="139"/>
      <c r="F140" s="6"/>
      <c r="G140" s="32"/>
    </row>
    <row r="141" spans="2:7" ht="13" x14ac:dyDescent="0.15">
      <c r="B141" s="134">
        <f t="shared" si="0"/>
        <v>46205</v>
      </c>
      <c r="C141" s="149">
        <v>80.5</v>
      </c>
      <c r="D141" s="149"/>
      <c r="E141" s="139"/>
      <c r="F141" s="6"/>
      <c r="G141" s="32"/>
    </row>
    <row r="142" spans="2:7" ht="13" x14ac:dyDescent="0.15">
      <c r="B142" s="134">
        <f t="shared" si="0"/>
        <v>46206</v>
      </c>
      <c r="C142" s="149">
        <v>80.400000000000006</v>
      </c>
      <c r="D142" s="149"/>
      <c r="E142" s="139"/>
      <c r="F142" s="6"/>
      <c r="G142" s="32"/>
    </row>
    <row r="143" spans="2:7" ht="13" x14ac:dyDescent="0.15">
      <c r="B143" s="134">
        <f t="shared" si="0"/>
        <v>46207</v>
      </c>
      <c r="C143" s="149">
        <v>80.8</v>
      </c>
      <c r="D143" s="149"/>
      <c r="E143" s="139"/>
      <c r="F143" s="6"/>
      <c r="G143" s="32"/>
    </row>
    <row r="144" spans="2:7" ht="13" x14ac:dyDescent="0.15">
      <c r="B144" s="134">
        <f t="shared" si="0"/>
        <v>46208</v>
      </c>
      <c r="C144" s="149">
        <v>80.900000000000006</v>
      </c>
      <c r="D144" s="149"/>
      <c r="E144" s="139"/>
      <c r="F144" s="6"/>
      <c r="G144" s="32"/>
    </row>
    <row r="145" spans="2:7" ht="13" x14ac:dyDescent="0.15">
      <c r="B145" s="134">
        <f t="shared" si="0"/>
        <v>46209</v>
      </c>
      <c r="C145" s="149">
        <v>81.5</v>
      </c>
      <c r="D145" s="149"/>
      <c r="E145" s="149"/>
      <c r="F145" s="6"/>
      <c r="G145" s="32"/>
    </row>
    <row r="146" spans="2:7" ht="13" x14ac:dyDescent="0.15">
      <c r="B146" s="134">
        <f t="shared" si="0"/>
        <v>46210</v>
      </c>
      <c r="C146" s="149">
        <v>80.8</v>
      </c>
      <c r="D146" s="149"/>
      <c r="E146" s="149"/>
      <c r="F146" s="6"/>
      <c r="G146" s="32"/>
    </row>
    <row r="147" spans="2:7" ht="13" x14ac:dyDescent="0.15">
      <c r="B147" s="134">
        <f t="shared" si="0"/>
        <v>46211</v>
      </c>
      <c r="C147" s="149">
        <v>81.5</v>
      </c>
      <c r="D147" s="149"/>
      <c r="E147" s="149"/>
      <c r="F147" s="6"/>
      <c r="G147" s="32"/>
    </row>
    <row r="148" spans="2:7" ht="13" x14ac:dyDescent="0.15">
      <c r="B148" s="134">
        <f t="shared" si="0"/>
        <v>46212</v>
      </c>
      <c r="C148" s="149">
        <v>81.400000000000006</v>
      </c>
      <c r="D148" s="149"/>
      <c r="E148" s="149"/>
      <c r="F148" s="6"/>
      <c r="G148" s="32"/>
    </row>
    <row r="149" spans="2:7" ht="13" x14ac:dyDescent="0.15">
      <c r="B149" s="134">
        <f t="shared" si="0"/>
        <v>46213</v>
      </c>
      <c r="C149" s="149">
        <v>81.5</v>
      </c>
      <c r="D149" s="149"/>
      <c r="E149" s="149"/>
      <c r="F149" s="6"/>
      <c r="G149" s="32"/>
    </row>
    <row r="150" spans="2:7" ht="13" x14ac:dyDescent="0.15">
      <c r="B150" s="134">
        <f t="shared" si="0"/>
        <v>46214</v>
      </c>
      <c r="C150" s="149">
        <v>81.2</v>
      </c>
      <c r="D150" s="149"/>
      <c r="E150" s="149"/>
      <c r="F150" s="6"/>
      <c r="G150" s="32"/>
    </row>
    <row r="151" spans="2:7" ht="13" x14ac:dyDescent="0.15">
      <c r="B151" s="134">
        <f t="shared" si="0"/>
        <v>46215</v>
      </c>
      <c r="C151" s="149">
        <v>81.7</v>
      </c>
      <c r="D151" s="149"/>
      <c r="E151" s="139"/>
      <c r="F151" s="6"/>
      <c r="G151" s="32"/>
    </row>
    <row r="152" spans="2:7" ht="13" x14ac:dyDescent="0.15">
      <c r="B152" s="134">
        <f t="shared" si="0"/>
        <v>46216</v>
      </c>
      <c r="C152" s="149">
        <v>81.2</v>
      </c>
      <c r="D152" s="149"/>
      <c r="E152" s="149"/>
      <c r="F152" s="6"/>
      <c r="G152" s="32"/>
    </row>
    <row r="153" spans="2:7" ht="13" x14ac:dyDescent="0.15">
      <c r="B153" s="134">
        <f t="shared" si="0"/>
        <v>46217</v>
      </c>
      <c r="C153" s="149">
        <v>81.7</v>
      </c>
      <c r="D153" s="149"/>
      <c r="E153" s="149"/>
      <c r="F153" s="6"/>
      <c r="G153" s="32"/>
    </row>
    <row r="154" spans="2:7" ht="13" x14ac:dyDescent="0.15">
      <c r="B154" s="134">
        <f t="shared" si="0"/>
        <v>46218</v>
      </c>
      <c r="C154" s="149">
        <v>82.1</v>
      </c>
      <c r="D154" s="149"/>
      <c r="E154" s="149"/>
      <c r="F154" s="6"/>
      <c r="G154" s="32"/>
    </row>
    <row r="155" spans="2:7" ht="13" x14ac:dyDescent="0.15">
      <c r="B155" s="134">
        <f t="shared" si="0"/>
        <v>46219</v>
      </c>
      <c r="C155" s="149">
        <v>81.900000000000006</v>
      </c>
      <c r="D155" s="149"/>
      <c r="E155" s="139"/>
      <c r="F155" s="6"/>
      <c r="G155" s="32"/>
    </row>
    <row r="156" spans="2:7" ht="13" x14ac:dyDescent="0.15">
      <c r="B156" s="134">
        <f t="shared" si="0"/>
        <v>46220</v>
      </c>
      <c r="C156" s="149">
        <v>81.8</v>
      </c>
      <c r="D156" s="149"/>
      <c r="E156" s="149"/>
      <c r="F156" s="6"/>
      <c r="G156" s="32"/>
    </row>
    <row r="157" spans="2:7" ht="13" x14ac:dyDescent="0.15">
      <c r="B157" s="134">
        <f t="shared" si="0"/>
        <v>46221</v>
      </c>
      <c r="C157" s="149">
        <v>82.2</v>
      </c>
      <c r="D157" s="149"/>
      <c r="E157" s="149"/>
      <c r="F157" s="6"/>
      <c r="G157" s="32"/>
    </row>
    <row r="158" spans="2:7" ht="13" x14ac:dyDescent="0.15">
      <c r="B158" s="134">
        <f t="shared" si="0"/>
        <v>46222</v>
      </c>
      <c r="C158" s="149">
        <v>81.599999999999994</v>
      </c>
      <c r="D158" s="149"/>
      <c r="E158" s="149"/>
      <c r="F158" s="6"/>
      <c r="G158" s="32"/>
    </row>
    <row r="159" spans="2:7" ht="13" x14ac:dyDescent="0.15">
      <c r="B159" s="134">
        <f t="shared" si="0"/>
        <v>46223</v>
      </c>
      <c r="C159" s="149">
        <v>81.5</v>
      </c>
      <c r="D159" s="149"/>
      <c r="E159" s="149"/>
      <c r="F159" s="6"/>
      <c r="G159" s="32"/>
    </row>
    <row r="160" spans="2:7" ht="13" x14ac:dyDescent="0.15">
      <c r="B160" s="134">
        <f t="shared" si="0"/>
        <v>46224</v>
      </c>
      <c r="C160" s="149">
        <v>81.099999999999994</v>
      </c>
      <c r="D160" s="149"/>
      <c r="E160" s="149"/>
      <c r="F160" s="6"/>
      <c r="G160" s="32"/>
    </row>
    <row r="161" spans="2:7" ht="13" x14ac:dyDescent="0.15">
      <c r="B161" s="134">
        <f t="shared" si="0"/>
        <v>46225</v>
      </c>
      <c r="C161" s="149">
        <v>81.2</v>
      </c>
      <c r="D161" s="149"/>
      <c r="E161" s="139"/>
      <c r="F161" s="6"/>
      <c r="G161" s="32"/>
    </row>
    <row r="162" spans="2:7" ht="13" x14ac:dyDescent="0.15">
      <c r="B162" s="134">
        <f t="shared" si="0"/>
        <v>46226</v>
      </c>
      <c r="C162" s="149">
        <v>80.599999999999994</v>
      </c>
      <c r="D162" s="149"/>
      <c r="E162" s="149"/>
      <c r="F162" s="6"/>
      <c r="G162" s="32"/>
    </row>
    <row r="163" spans="2:7" ht="13" x14ac:dyDescent="0.15">
      <c r="B163" s="134">
        <f t="shared" si="0"/>
        <v>46227</v>
      </c>
      <c r="C163" s="149">
        <v>80.900000000000006</v>
      </c>
      <c r="D163" s="149"/>
      <c r="E163" s="139"/>
      <c r="F163" s="6"/>
      <c r="G163" s="32"/>
    </row>
    <row r="164" spans="2:7" ht="13" x14ac:dyDescent="0.15">
      <c r="B164" s="134">
        <f t="shared" si="0"/>
        <v>46228</v>
      </c>
      <c r="C164" s="149">
        <v>81</v>
      </c>
      <c r="D164" s="149"/>
      <c r="E164" s="139"/>
      <c r="F164" s="6"/>
      <c r="G164" s="32"/>
    </row>
    <row r="165" spans="2:7" ht="13" x14ac:dyDescent="0.15">
      <c r="B165" s="134">
        <f t="shared" si="0"/>
        <v>46229</v>
      </c>
      <c r="C165" s="149">
        <v>80.7</v>
      </c>
      <c r="D165" s="149"/>
      <c r="E165" s="149"/>
      <c r="F165" s="6"/>
      <c r="G165" s="32"/>
    </row>
    <row r="166" spans="2:7" ht="13" x14ac:dyDescent="0.15">
      <c r="B166" s="134">
        <f t="shared" si="0"/>
        <v>46230</v>
      </c>
      <c r="C166" s="149">
        <v>80.900000000000006</v>
      </c>
      <c r="D166" s="149"/>
      <c r="E166" s="139"/>
      <c r="F166" s="6"/>
      <c r="G166" s="32"/>
    </row>
    <row r="167" spans="2:7" ht="13" x14ac:dyDescent="0.15">
      <c r="B167" s="134">
        <f t="shared" si="0"/>
        <v>46231</v>
      </c>
      <c r="C167" s="149">
        <v>80.099999999999994</v>
      </c>
      <c r="D167" s="149"/>
      <c r="E167" s="149"/>
      <c r="F167" s="6"/>
      <c r="G167" s="32"/>
    </row>
    <row r="168" spans="2:7" ht="13" x14ac:dyDescent="0.15">
      <c r="B168" s="134">
        <f t="shared" si="0"/>
        <v>46232</v>
      </c>
      <c r="C168" s="149">
        <v>80.3</v>
      </c>
      <c r="D168" s="149"/>
      <c r="E168" s="139"/>
      <c r="F168" s="6"/>
      <c r="G168" s="32"/>
    </row>
    <row r="169" spans="2:7" ht="13" x14ac:dyDescent="0.15">
      <c r="B169" s="134">
        <f t="shared" si="0"/>
        <v>46233</v>
      </c>
      <c r="C169" s="149">
        <v>80.099999999999994</v>
      </c>
      <c r="D169" s="149"/>
      <c r="E169" s="139"/>
      <c r="F169" s="6"/>
      <c r="G169" s="32"/>
    </row>
    <row r="170" spans="2:7" ht="13" x14ac:dyDescent="0.15">
      <c r="B170" s="134">
        <f t="shared" si="0"/>
        <v>46234</v>
      </c>
      <c r="C170" s="149">
        <v>79.7</v>
      </c>
      <c r="D170" s="149"/>
      <c r="E170" s="139"/>
      <c r="F170" s="6"/>
      <c r="G170" s="32"/>
    </row>
    <row r="171" spans="2:7" ht="13" x14ac:dyDescent="0.15">
      <c r="B171" s="134">
        <f t="shared" si="0"/>
        <v>46235</v>
      </c>
      <c r="C171" s="149">
        <v>79.099999999999994</v>
      </c>
      <c r="D171" s="149"/>
      <c r="E171" s="139"/>
      <c r="F171" s="6"/>
      <c r="G171" s="32"/>
    </row>
    <row r="172" spans="2:7" ht="13" x14ac:dyDescent="0.15">
      <c r="B172" s="134">
        <f t="shared" si="0"/>
        <v>46236</v>
      </c>
      <c r="C172" s="149">
        <v>79.5</v>
      </c>
      <c r="D172" s="149"/>
      <c r="E172" s="139"/>
      <c r="F172" s="6"/>
      <c r="G172" s="32"/>
    </row>
    <row r="173" spans="2:7" ht="13" x14ac:dyDescent="0.15">
      <c r="B173" s="134">
        <f t="shared" si="0"/>
        <v>46237</v>
      </c>
      <c r="C173" s="149">
        <v>79.5</v>
      </c>
      <c r="D173" s="149"/>
      <c r="E173" s="139"/>
      <c r="F173" s="6"/>
      <c r="G173" s="32"/>
    </row>
    <row r="174" spans="2:7" ht="13" x14ac:dyDescent="0.15">
      <c r="B174" s="134">
        <f t="shared" si="0"/>
        <v>46238</v>
      </c>
      <c r="C174" s="149">
        <v>79.099999999999994</v>
      </c>
      <c r="D174" s="149"/>
      <c r="E174" s="139"/>
      <c r="F174" s="6"/>
      <c r="G174" s="32"/>
    </row>
    <row r="175" spans="2:7" ht="13" x14ac:dyDescent="0.15">
      <c r="B175" s="134">
        <f t="shared" si="0"/>
        <v>46239</v>
      </c>
      <c r="C175" s="149">
        <v>78.8</v>
      </c>
      <c r="D175" s="149"/>
      <c r="E175" s="139"/>
      <c r="F175" s="6"/>
      <c r="G175" s="32"/>
    </row>
    <row r="176" spans="2:7" ht="13" x14ac:dyDescent="0.15">
      <c r="B176" s="134">
        <f t="shared" si="0"/>
        <v>46240</v>
      </c>
      <c r="C176" s="149">
        <v>78.5</v>
      </c>
      <c r="D176" s="149"/>
      <c r="E176" s="139"/>
      <c r="F176" s="6"/>
      <c r="G176" s="32"/>
    </row>
    <row r="177" spans="2:7" ht="13" x14ac:dyDescent="0.15">
      <c r="B177" s="134">
        <f t="shared" si="0"/>
        <v>46241</v>
      </c>
      <c r="C177" s="149">
        <v>79.099999999999994</v>
      </c>
      <c r="D177" s="149"/>
      <c r="E177" s="139"/>
      <c r="F177" s="6"/>
      <c r="G177" s="32"/>
    </row>
    <row r="178" spans="2:7" ht="13" x14ac:dyDescent="0.15">
      <c r="B178" s="134">
        <f t="shared" si="0"/>
        <v>46242</v>
      </c>
      <c r="C178" s="149">
        <v>78.400000000000006</v>
      </c>
      <c r="D178" s="149"/>
      <c r="E178" s="139"/>
      <c r="F178" s="6"/>
      <c r="G178" s="32"/>
    </row>
    <row r="179" spans="2:7" ht="13" x14ac:dyDescent="0.15">
      <c r="B179" s="134">
        <f t="shared" si="0"/>
        <v>46243</v>
      </c>
      <c r="C179" s="149">
        <v>78.3</v>
      </c>
      <c r="D179" s="149"/>
      <c r="E179" s="139"/>
      <c r="F179" s="6"/>
      <c r="G179" s="32"/>
    </row>
    <row r="180" spans="2:7" ht="13" x14ac:dyDescent="0.15">
      <c r="B180" s="134">
        <f t="shared" si="0"/>
        <v>46244</v>
      </c>
      <c r="C180" s="149">
        <v>78.3</v>
      </c>
      <c r="D180" s="149"/>
      <c r="E180" s="139"/>
      <c r="F180" s="6"/>
      <c r="G180" s="32"/>
    </row>
    <row r="181" spans="2:7" ht="13" x14ac:dyDescent="0.15">
      <c r="B181" s="134">
        <f t="shared" si="0"/>
        <v>46245</v>
      </c>
      <c r="C181" s="149">
        <v>77.900000000000006</v>
      </c>
      <c r="D181" s="149"/>
      <c r="E181" s="139"/>
      <c r="F181" s="6"/>
      <c r="G181" s="32"/>
    </row>
    <row r="182" spans="2:7" ht="13" x14ac:dyDescent="0.15">
      <c r="B182" s="134">
        <f t="shared" si="0"/>
        <v>46246</v>
      </c>
      <c r="C182" s="149">
        <v>78</v>
      </c>
      <c r="D182" s="149"/>
      <c r="E182" s="139"/>
      <c r="F182" s="6"/>
      <c r="G182" s="32"/>
    </row>
    <row r="183" spans="2:7" ht="13" x14ac:dyDescent="0.15">
      <c r="B183" s="134">
        <f t="shared" si="0"/>
        <v>46247</v>
      </c>
      <c r="C183" s="149">
        <v>77.8</v>
      </c>
      <c r="D183" s="149"/>
      <c r="E183" s="139"/>
      <c r="F183" s="6"/>
      <c r="G183" s="32"/>
    </row>
    <row r="184" spans="2:7" ht="13" x14ac:dyDescent="0.15">
      <c r="B184" s="134">
        <f t="shared" si="0"/>
        <v>46248</v>
      </c>
      <c r="C184" s="149">
        <v>77.8</v>
      </c>
      <c r="D184" s="149"/>
      <c r="E184" s="139"/>
      <c r="F184" s="6"/>
      <c r="G184" s="32"/>
    </row>
    <row r="185" spans="2:7" ht="13" x14ac:dyDescent="0.15">
      <c r="B185" s="134">
        <f t="shared" si="0"/>
        <v>46249</v>
      </c>
      <c r="C185" s="149">
        <v>77.5</v>
      </c>
      <c r="D185" s="149"/>
      <c r="E185" s="139"/>
      <c r="F185" s="6"/>
      <c r="G185" s="32"/>
    </row>
    <row r="186" spans="2:7" ht="13" x14ac:dyDescent="0.15">
      <c r="B186" s="134">
        <f t="shared" si="0"/>
        <v>46250</v>
      </c>
      <c r="C186" s="149">
        <v>77.900000000000006</v>
      </c>
      <c r="D186" s="149"/>
      <c r="E186" s="139"/>
      <c r="F186" s="6"/>
      <c r="G186" s="32"/>
    </row>
    <row r="187" spans="2:7" ht="13" x14ac:dyDescent="0.15">
      <c r="B187" s="134">
        <f t="shared" si="0"/>
        <v>46251</v>
      </c>
      <c r="C187" s="149">
        <v>77.3</v>
      </c>
      <c r="D187" s="149"/>
      <c r="E187" s="139"/>
      <c r="F187" s="6"/>
      <c r="G187" s="32"/>
    </row>
    <row r="188" spans="2:7" ht="13" x14ac:dyDescent="0.15">
      <c r="B188" s="134">
        <f t="shared" si="0"/>
        <v>46252</v>
      </c>
      <c r="C188" s="149">
        <v>77.5</v>
      </c>
      <c r="D188" s="149"/>
      <c r="E188" s="139"/>
      <c r="F188" s="6"/>
      <c r="G188" s="32"/>
    </row>
    <row r="189" spans="2:7" ht="13" x14ac:dyDescent="0.15">
      <c r="B189" s="134">
        <f t="shared" si="0"/>
        <v>46253</v>
      </c>
      <c r="C189" s="149">
        <v>77.400000000000006</v>
      </c>
      <c r="D189" s="149"/>
      <c r="E189" s="139"/>
      <c r="F189" s="6"/>
      <c r="G189" s="32"/>
    </row>
    <row r="190" spans="2:7" ht="13" x14ac:dyDescent="0.15">
      <c r="B190" s="134">
        <f t="shared" si="0"/>
        <v>46254</v>
      </c>
      <c r="C190" s="149">
        <v>77.099999999999994</v>
      </c>
      <c r="D190" s="149"/>
      <c r="E190" s="139"/>
      <c r="F190" s="6"/>
      <c r="G190" s="32"/>
    </row>
    <row r="191" spans="2:7" ht="13" x14ac:dyDescent="0.15">
      <c r="B191" s="134">
        <f t="shared" si="0"/>
        <v>46255</v>
      </c>
      <c r="C191" s="149">
        <v>77.599999999999994</v>
      </c>
      <c r="D191" s="149"/>
      <c r="E191" s="139"/>
      <c r="F191" s="6"/>
      <c r="G191" s="32"/>
    </row>
    <row r="192" spans="2:7" ht="13" x14ac:dyDescent="0.15">
      <c r="B192" s="134">
        <f t="shared" si="0"/>
        <v>46256</v>
      </c>
      <c r="C192" s="149">
        <v>77.5</v>
      </c>
      <c r="D192" s="149"/>
      <c r="E192" s="139"/>
      <c r="F192" s="6"/>
      <c r="G192" s="32"/>
    </row>
    <row r="193" spans="2:7" ht="13" x14ac:dyDescent="0.15">
      <c r="B193" s="134">
        <f t="shared" si="0"/>
        <v>46257</v>
      </c>
      <c r="C193" s="149">
        <v>77.3</v>
      </c>
      <c r="D193" s="149"/>
      <c r="E193" s="139"/>
      <c r="F193" s="6"/>
      <c r="G193" s="32"/>
    </row>
    <row r="194" spans="2:7" ht="13" x14ac:dyDescent="0.15">
      <c r="B194" s="134">
        <f t="shared" si="0"/>
        <v>46258</v>
      </c>
      <c r="C194" s="149">
        <v>77.5</v>
      </c>
      <c r="D194" s="149"/>
      <c r="E194" s="139"/>
      <c r="F194" s="6"/>
      <c r="G194" s="32"/>
    </row>
    <row r="195" spans="2:7" ht="13" x14ac:dyDescent="0.15">
      <c r="B195" s="134">
        <f t="shared" si="0"/>
        <v>46259</v>
      </c>
      <c r="C195" s="149">
        <v>77.099999999999994</v>
      </c>
      <c r="D195" s="149"/>
      <c r="E195" s="139"/>
      <c r="F195" s="6"/>
      <c r="G195" s="32"/>
    </row>
    <row r="196" spans="2:7" ht="13" x14ac:dyDescent="0.15">
      <c r="B196" s="134">
        <f t="shared" si="0"/>
        <v>46260</v>
      </c>
      <c r="C196" s="149"/>
      <c r="D196" s="149"/>
      <c r="E196" s="139"/>
      <c r="F196" s="6"/>
      <c r="G196" s="32"/>
    </row>
    <row r="197" spans="2:7" ht="13" x14ac:dyDescent="0.15">
      <c r="B197" s="134">
        <f t="shared" si="0"/>
        <v>46261</v>
      </c>
      <c r="C197" s="149"/>
      <c r="D197" s="149"/>
      <c r="E197" s="139"/>
      <c r="F197" s="6"/>
      <c r="G197" s="32"/>
    </row>
    <row r="198" spans="2:7" ht="13" x14ac:dyDescent="0.15">
      <c r="B198" s="134">
        <f t="shared" si="0"/>
        <v>46262</v>
      </c>
      <c r="C198" s="149"/>
      <c r="D198" s="149"/>
      <c r="E198" s="139"/>
      <c r="F198" s="6"/>
      <c r="G198" s="32"/>
    </row>
    <row r="199" spans="2:7" ht="13" x14ac:dyDescent="0.15">
      <c r="B199" s="134">
        <f t="shared" si="0"/>
        <v>46263</v>
      </c>
      <c r="C199" s="149"/>
      <c r="D199" s="149"/>
      <c r="E199" s="139"/>
      <c r="F199" s="6"/>
      <c r="G199" s="32"/>
    </row>
    <row r="200" spans="2:7" ht="13" x14ac:dyDescent="0.15">
      <c r="B200" s="134">
        <f t="shared" si="0"/>
        <v>46264</v>
      </c>
      <c r="C200" s="149"/>
      <c r="D200" s="149"/>
      <c r="E200" s="139"/>
      <c r="F200" s="6"/>
      <c r="G200" s="32"/>
    </row>
    <row r="201" spans="2:7" ht="13" x14ac:dyDescent="0.15">
      <c r="B201" s="134">
        <f t="shared" si="0"/>
        <v>46265</v>
      </c>
      <c r="C201" s="149"/>
      <c r="D201" s="149"/>
      <c r="E201" s="139"/>
      <c r="F201" s="6"/>
      <c r="G201" s="32"/>
    </row>
    <row r="202" spans="2:7" ht="13" x14ac:dyDescent="0.15">
      <c r="B202" s="134">
        <f t="shared" si="0"/>
        <v>46266</v>
      </c>
      <c r="C202" s="149"/>
      <c r="D202" s="149"/>
      <c r="E202" s="139"/>
      <c r="F202" s="6"/>
      <c r="G202" s="32"/>
    </row>
    <row r="203" spans="2:7" ht="13" x14ac:dyDescent="0.15">
      <c r="B203" s="134">
        <f t="shared" si="0"/>
        <v>46267</v>
      </c>
      <c r="C203" s="149"/>
      <c r="D203" s="149"/>
      <c r="E203" s="139"/>
      <c r="F203" s="6"/>
      <c r="G203" s="32"/>
    </row>
    <row r="204" spans="2:7" ht="13" x14ac:dyDescent="0.15">
      <c r="B204" s="134">
        <f t="shared" si="0"/>
        <v>46268</v>
      </c>
      <c r="C204" s="149"/>
      <c r="D204" s="149"/>
      <c r="E204" s="139"/>
      <c r="F204" s="6"/>
      <c r="G204" s="32"/>
    </row>
    <row r="205" spans="2:7" ht="13" x14ac:dyDescent="0.15">
      <c r="B205" s="134">
        <f t="shared" si="0"/>
        <v>46269</v>
      </c>
      <c r="C205" s="149"/>
      <c r="D205" s="149"/>
      <c r="E205" s="139"/>
      <c r="F205" s="6"/>
      <c r="G205" s="32"/>
    </row>
    <row r="206" spans="2:7" ht="13" x14ac:dyDescent="0.15">
      <c r="B206" s="134">
        <f t="shared" si="0"/>
        <v>46270</v>
      </c>
      <c r="C206" s="149"/>
      <c r="D206" s="149"/>
      <c r="E206" s="139"/>
      <c r="F206" s="6"/>
      <c r="G206" s="32"/>
    </row>
    <row r="207" spans="2:7" ht="13" x14ac:dyDescent="0.15">
      <c r="B207" s="134">
        <f t="shared" si="0"/>
        <v>46271</v>
      </c>
      <c r="C207" s="149"/>
      <c r="D207" s="149"/>
      <c r="E207" s="139"/>
      <c r="F207" s="6"/>
      <c r="G207" s="32"/>
    </row>
    <row r="208" spans="2:7" ht="13" x14ac:dyDescent="0.15">
      <c r="B208" s="134">
        <f t="shared" si="0"/>
        <v>46272</v>
      </c>
      <c r="C208" s="149"/>
      <c r="D208" s="149"/>
      <c r="E208" s="139"/>
      <c r="F208" s="6"/>
      <c r="G208" s="32"/>
    </row>
    <row r="209" spans="2:7" ht="13" x14ac:dyDescent="0.15">
      <c r="B209" s="134">
        <f t="shared" si="0"/>
        <v>46273</v>
      </c>
      <c r="C209" s="149"/>
      <c r="D209" s="149"/>
      <c r="E209" s="139"/>
      <c r="F209" s="6"/>
      <c r="G209" s="32"/>
    </row>
    <row r="210" spans="2:7" ht="13" x14ac:dyDescent="0.15">
      <c r="B210" s="134">
        <f t="shared" si="0"/>
        <v>46274</v>
      </c>
      <c r="C210" s="149"/>
      <c r="D210" s="149"/>
      <c r="E210" s="139"/>
      <c r="F210" s="6"/>
      <c r="G210" s="32"/>
    </row>
    <row r="211" spans="2:7" ht="13" x14ac:dyDescent="0.15">
      <c r="B211" s="134">
        <f t="shared" si="0"/>
        <v>46275</v>
      </c>
      <c r="C211" s="149"/>
      <c r="D211" s="149"/>
      <c r="E211" s="139"/>
      <c r="F211" s="6"/>
      <c r="G211" s="32"/>
    </row>
    <row r="212" spans="2:7" ht="13" x14ac:dyDescent="0.15">
      <c r="B212" s="134">
        <f t="shared" si="0"/>
        <v>46276</v>
      </c>
      <c r="C212" s="149"/>
      <c r="D212" s="149"/>
      <c r="E212" s="139"/>
      <c r="F212" s="6"/>
      <c r="G212" s="32"/>
    </row>
    <row r="213" spans="2:7" ht="13" x14ac:dyDescent="0.15">
      <c r="B213" s="134">
        <f t="shared" si="0"/>
        <v>46277</v>
      </c>
      <c r="C213" s="149"/>
      <c r="D213" s="149"/>
      <c r="E213" s="139"/>
      <c r="F213" s="6"/>
      <c r="G213" s="32"/>
    </row>
    <row r="214" spans="2:7" ht="13" x14ac:dyDescent="0.15">
      <c r="B214" s="134">
        <f t="shared" si="0"/>
        <v>46278</v>
      </c>
      <c r="C214" s="149"/>
      <c r="D214" s="149"/>
      <c r="E214" s="139"/>
      <c r="F214" s="6"/>
      <c r="G214" s="32"/>
    </row>
    <row r="215" spans="2:7" ht="13" x14ac:dyDescent="0.15">
      <c r="B215" s="134">
        <f t="shared" si="0"/>
        <v>46279</v>
      </c>
      <c r="C215" s="149"/>
      <c r="D215" s="149"/>
      <c r="E215" s="139"/>
      <c r="F215" s="6"/>
      <c r="G215" s="32"/>
    </row>
    <row r="216" spans="2:7" ht="13" x14ac:dyDescent="0.15">
      <c r="B216" s="134">
        <f t="shared" si="0"/>
        <v>46280</v>
      </c>
      <c r="C216" s="149"/>
      <c r="D216" s="149"/>
      <c r="E216" s="139"/>
      <c r="F216" s="6"/>
      <c r="G216" s="32"/>
    </row>
    <row r="217" spans="2:7" ht="13" x14ac:dyDescent="0.15">
      <c r="B217" s="134">
        <f t="shared" si="0"/>
        <v>46281</v>
      </c>
      <c r="C217" s="149"/>
      <c r="D217" s="149"/>
      <c r="E217" s="139"/>
      <c r="F217" s="6"/>
      <c r="G217" s="32"/>
    </row>
    <row r="218" spans="2:7" ht="13" x14ac:dyDescent="0.15">
      <c r="B218" s="134">
        <f t="shared" si="0"/>
        <v>46282</v>
      </c>
      <c r="C218" s="149"/>
      <c r="D218" s="149"/>
      <c r="E218" s="139"/>
      <c r="F218" s="6"/>
      <c r="G218" s="32"/>
    </row>
    <row r="219" spans="2:7" ht="13" x14ac:dyDescent="0.15">
      <c r="B219" s="134">
        <f t="shared" si="0"/>
        <v>46283</v>
      </c>
      <c r="C219" s="149"/>
      <c r="D219" s="149"/>
      <c r="E219" s="139"/>
      <c r="F219" s="6"/>
      <c r="G219" s="32"/>
    </row>
    <row r="220" spans="2:7" ht="13" x14ac:dyDescent="0.15">
      <c r="B220" s="134">
        <f t="shared" si="0"/>
        <v>46284</v>
      </c>
      <c r="C220" s="149"/>
      <c r="D220" s="149"/>
      <c r="E220" s="139"/>
      <c r="F220" s="6"/>
      <c r="G220" s="32"/>
    </row>
    <row r="221" spans="2:7" ht="13" x14ac:dyDescent="0.15">
      <c r="B221" s="134">
        <f t="shared" si="0"/>
        <v>46285</v>
      </c>
      <c r="C221" s="149"/>
      <c r="D221" s="149"/>
      <c r="E221" s="149"/>
      <c r="F221" s="6"/>
      <c r="G221" s="32"/>
    </row>
    <row r="222" spans="2:7" ht="13" x14ac:dyDescent="0.15">
      <c r="B222" s="134">
        <f t="shared" si="0"/>
        <v>46286</v>
      </c>
      <c r="C222" s="149"/>
      <c r="D222" s="149"/>
      <c r="E222" s="149"/>
      <c r="F222" s="6"/>
      <c r="G222" s="32"/>
    </row>
    <row r="223" spans="2:7" ht="13" x14ac:dyDescent="0.15">
      <c r="B223" s="134">
        <f t="shared" si="0"/>
        <v>46287</v>
      </c>
      <c r="C223" s="149"/>
      <c r="D223" s="149"/>
      <c r="E223" s="149"/>
      <c r="F223" s="6"/>
      <c r="G223" s="32"/>
    </row>
    <row r="224" spans="2:7" ht="13" x14ac:dyDescent="0.15">
      <c r="B224" s="134">
        <f t="shared" si="0"/>
        <v>46288</v>
      </c>
      <c r="C224" s="149"/>
      <c r="D224" s="149"/>
      <c r="E224" s="139"/>
      <c r="F224" s="6"/>
      <c r="G224" s="32"/>
    </row>
    <row r="225" spans="2:7" ht="13" x14ac:dyDescent="0.15">
      <c r="B225" s="134">
        <f t="shared" si="0"/>
        <v>46289</v>
      </c>
      <c r="C225" s="149"/>
      <c r="D225" s="149"/>
      <c r="E225" s="139"/>
      <c r="F225" s="6"/>
      <c r="G225" s="32"/>
    </row>
    <row r="226" spans="2:7" ht="13" x14ac:dyDescent="0.15">
      <c r="B226" s="134">
        <f t="shared" si="0"/>
        <v>46290</v>
      </c>
      <c r="C226" s="149"/>
      <c r="D226" s="149"/>
      <c r="E226" s="139"/>
      <c r="F226" s="6"/>
      <c r="G226" s="32"/>
    </row>
    <row r="227" spans="2:7" ht="13" x14ac:dyDescent="0.15">
      <c r="B227" s="134">
        <f t="shared" si="0"/>
        <v>46291</v>
      </c>
      <c r="C227" s="149"/>
      <c r="D227" s="149"/>
      <c r="E227" s="139"/>
      <c r="F227" s="6"/>
      <c r="G227" s="32"/>
    </row>
    <row r="228" spans="2:7" ht="13" x14ac:dyDescent="0.15">
      <c r="B228" s="134">
        <f t="shared" si="0"/>
        <v>46292</v>
      </c>
      <c r="C228" s="149"/>
      <c r="D228" s="149"/>
      <c r="E228" s="139"/>
      <c r="F228" s="6"/>
      <c r="G228" s="32"/>
    </row>
    <row r="229" spans="2:7" ht="13" x14ac:dyDescent="0.15">
      <c r="B229" s="134">
        <f t="shared" si="0"/>
        <v>46293</v>
      </c>
      <c r="C229" s="149"/>
      <c r="D229" s="149"/>
      <c r="E229" s="139"/>
      <c r="F229" s="6"/>
      <c r="G229" s="32"/>
    </row>
    <row r="230" spans="2:7" ht="13" x14ac:dyDescent="0.15">
      <c r="B230" s="134">
        <f t="shared" si="0"/>
        <v>46294</v>
      </c>
      <c r="C230" s="149"/>
      <c r="D230" s="149"/>
      <c r="E230" s="139"/>
      <c r="F230" s="6"/>
      <c r="G230" s="32"/>
    </row>
    <row r="231" spans="2:7" ht="13" x14ac:dyDescent="0.15">
      <c r="B231" s="134">
        <f t="shared" si="0"/>
        <v>46295</v>
      </c>
      <c r="C231" s="149"/>
      <c r="D231" s="149"/>
      <c r="E231" s="149"/>
      <c r="F231" s="6"/>
      <c r="G231" s="32"/>
    </row>
    <row r="232" spans="2:7" ht="13" x14ac:dyDescent="0.15">
      <c r="B232" s="134">
        <f t="shared" si="0"/>
        <v>46296</v>
      </c>
      <c r="C232" s="149"/>
      <c r="D232" s="149"/>
      <c r="E232" s="149"/>
      <c r="F232" s="6"/>
      <c r="G232" s="32"/>
    </row>
    <row r="233" spans="2:7" ht="13" x14ac:dyDescent="0.15">
      <c r="B233" s="134">
        <f t="shared" si="0"/>
        <v>46297</v>
      </c>
      <c r="C233" s="149"/>
      <c r="D233" s="149"/>
      <c r="E233" s="139"/>
      <c r="F233" s="6"/>
      <c r="G233" s="32"/>
    </row>
    <row r="234" spans="2:7" ht="13" x14ac:dyDescent="0.15">
      <c r="B234" s="134">
        <f t="shared" si="0"/>
        <v>46298</v>
      </c>
      <c r="C234" s="149"/>
      <c r="D234" s="149"/>
      <c r="E234" s="139"/>
      <c r="F234" s="6"/>
      <c r="G234" s="32"/>
    </row>
    <row r="235" spans="2:7" ht="13" x14ac:dyDescent="0.15">
      <c r="B235" s="134">
        <f t="shared" si="0"/>
        <v>46299</v>
      </c>
      <c r="C235" s="149"/>
      <c r="D235" s="149"/>
      <c r="E235" s="139"/>
      <c r="F235" s="6"/>
      <c r="G235" s="32"/>
    </row>
    <row r="236" spans="2:7" ht="13" x14ac:dyDescent="0.15">
      <c r="B236" s="134">
        <f t="shared" si="0"/>
        <v>46300</v>
      </c>
      <c r="C236" s="149"/>
      <c r="D236" s="149"/>
      <c r="E236" s="139"/>
      <c r="F236" s="6"/>
      <c r="G236" s="32"/>
    </row>
    <row r="237" spans="2:7" ht="13" x14ac:dyDescent="0.15">
      <c r="B237" s="134">
        <f t="shared" si="0"/>
        <v>46301</v>
      </c>
      <c r="C237" s="149"/>
      <c r="D237" s="149"/>
      <c r="E237" s="139"/>
      <c r="F237" s="6"/>
      <c r="G237" s="32"/>
    </row>
    <row r="238" spans="2:7" ht="13" x14ac:dyDescent="0.15">
      <c r="B238" s="134">
        <f t="shared" si="0"/>
        <v>46302</v>
      </c>
      <c r="C238" s="149"/>
      <c r="D238" s="149"/>
      <c r="E238" s="139"/>
      <c r="F238" s="6"/>
      <c r="G238" s="32"/>
    </row>
    <row r="239" spans="2:7" ht="13" x14ac:dyDescent="0.15">
      <c r="B239" s="134">
        <f t="shared" si="0"/>
        <v>46303</v>
      </c>
      <c r="C239" s="149"/>
      <c r="D239" s="149"/>
      <c r="E239" s="149"/>
      <c r="F239" s="6"/>
      <c r="G239" s="32"/>
    </row>
    <row r="240" spans="2:7" ht="13" x14ac:dyDescent="0.15">
      <c r="B240" s="134">
        <f t="shared" si="0"/>
        <v>46304</v>
      </c>
      <c r="C240" s="149"/>
      <c r="D240" s="149"/>
      <c r="E240" s="139"/>
      <c r="F240" s="6"/>
      <c r="G240" s="32"/>
    </row>
    <row r="241" spans="2:7" ht="13" x14ac:dyDescent="0.15">
      <c r="B241" s="134">
        <f t="shared" si="0"/>
        <v>46305</v>
      </c>
      <c r="C241" s="149"/>
      <c r="D241" s="149"/>
      <c r="E241" s="139"/>
      <c r="F241" s="6"/>
      <c r="G241" s="32"/>
    </row>
    <row r="242" spans="2:7" ht="13" x14ac:dyDescent="0.15">
      <c r="B242" s="134">
        <f t="shared" si="0"/>
        <v>46306</v>
      </c>
      <c r="C242" s="149"/>
      <c r="D242" s="149"/>
      <c r="E242" s="139"/>
      <c r="F242" s="6"/>
      <c r="G242" s="32"/>
    </row>
    <row r="243" spans="2:7" ht="13" x14ac:dyDescent="0.15">
      <c r="B243" s="134">
        <f t="shared" si="0"/>
        <v>46307</v>
      </c>
      <c r="C243" s="149"/>
      <c r="D243" s="149"/>
      <c r="E243" s="139"/>
      <c r="F243" s="6"/>
      <c r="G243" s="32"/>
    </row>
    <row r="244" spans="2:7" ht="13" x14ac:dyDescent="0.15">
      <c r="B244" s="134">
        <f t="shared" si="0"/>
        <v>46308</v>
      </c>
      <c r="C244" s="149"/>
      <c r="D244" s="149"/>
      <c r="E244" s="139"/>
      <c r="F244" s="6"/>
      <c r="G244" s="32"/>
    </row>
    <row r="245" spans="2:7" ht="13" x14ac:dyDescent="0.15">
      <c r="B245" s="134">
        <f t="shared" si="0"/>
        <v>46309</v>
      </c>
      <c r="C245" s="149"/>
      <c r="D245" s="149"/>
      <c r="E245" s="149"/>
      <c r="F245" s="6"/>
      <c r="G245" s="32"/>
    </row>
    <row r="246" spans="2:7" ht="13" x14ac:dyDescent="0.15">
      <c r="B246" s="134">
        <f t="shared" si="0"/>
        <v>46310</v>
      </c>
      <c r="C246" s="149"/>
      <c r="D246" s="149"/>
      <c r="E246" s="149"/>
      <c r="F246" s="6"/>
      <c r="G246" s="32"/>
    </row>
    <row r="247" spans="2:7" ht="13" x14ac:dyDescent="0.15">
      <c r="B247" s="134">
        <f t="shared" si="0"/>
        <v>46311</v>
      </c>
      <c r="C247" s="149"/>
      <c r="D247" s="149"/>
      <c r="E247" s="149"/>
      <c r="F247" s="6"/>
      <c r="G247" s="32"/>
    </row>
    <row r="248" spans="2:7" ht="13" x14ac:dyDescent="0.15">
      <c r="B248" s="134">
        <f t="shared" si="0"/>
        <v>46312</v>
      </c>
      <c r="C248" s="149"/>
      <c r="D248" s="149"/>
      <c r="E248" s="139"/>
      <c r="F248" s="6"/>
      <c r="G248" s="32"/>
    </row>
    <row r="249" spans="2:7" ht="13" x14ac:dyDescent="0.15">
      <c r="B249" s="134">
        <f t="shared" si="0"/>
        <v>46313</v>
      </c>
      <c r="C249" s="149"/>
      <c r="D249" s="149"/>
      <c r="E249" s="139"/>
      <c r="F249" s="6"/>
      <c r="G249" s="32"/>
    </row>
    <row r="250" spans="2:7" ht="13" x14ac:dyDescent="0.15">
      <c r="B250" s="134">
        <f t="shared" si="0"/>
        <v>46314</v>
      </c>
      <c r="C250" s="149"/>
      <c r="D250" s="149"/>
      <c r="E250" s="139"/>
      <c r="F250" s="6"/>
      <c r="G250" s="32"/>
    </row>
    <row r="251" spans="2:7" ht="13" x14ac:dyDescent="0.15">
      <c r="B251" s="134">
        <f t="shared" si="0"/>
        <v>46315</v>
      </c>
      <c r="C251" s="149"/>
      <c r="D251" s="149"/>
      <c r="E251" s="139"/>
      <c r="F251" s="6"/>
      <c r="G251" s="32"/>
    </row>
    <row r="252" spans="2:7" ht="13" x14ac:dyDescent="0.15">
      <c r="B252" s="134">
        <f t="shared" si="0"/>
        <v>46316</v>
      </c>
      <c r="C252" s="149"/>
      <c r="D252" s="149"/>
      <c r="E252" s="149"/>
      <c r="F252" s="6"/>
      <c r="G252" s="32"/>
    </row>
    <row r="253" spans="2:7" ht="13" x14ac:dyDescent="0.15">
      <c r="B253" s="134">
        <f t="shared" si="0"/>
        <v>46317</v>
      </c>
      <c r="C253" s="149"/>
      <c r="D253" s="149"/>
      <c r="E253" s="139"/>
      <c r="F253" s="6"/>
      <c r="G253" s="32"/>
    </row>
    <row r="254" spans="2:7" ht="13" x14ac:dyDescent="0.15">
      <c r="B254" s="134">
        <f t="shared" si="0"/>
        <v>46318</v>
      </c>
      <c r="C254" s="149"/>
      <c r="D254" s="149"/>
      <c r="E254" s="139"/>
      <c r="F254" s="6"/>
      <c r="G254" s="32"/>
    </row>
    <row r="255" spans="2:7" ht="13" x14ac:dyDescent="0.15">
      <c r="B255" s="134">
        <f t="shared" si="0"/>
        <v>46319</v>
      </c>
      <c r="C255" s="149"/>
      <c r="D255" s="149"/>
      <c r="E255" s="149"/>
      <c r="F255" s="6"/>
      <c r="G255" s="32"/>
    </row>
    <row r="256" spans="2:7" ht="13" x14ac:dyDescent="0.15">
      <c r="B256" s="134">
        <f t="shared" si="0"/>
        <v>46320</v>
      </c>
      <c r="C256" s="149"/>
      <c r="D256" s="149"/>
      <c r="E256" s="149"/>
      <c r="F256" s="6"/>
      <c r="G256" s="32"/>
    </row>
    <row r="257" spans="2:7" ht="13" x14ac:dyDescent="0.15">
      <c r="B257" s="134">
        <f t="shared" si="0"/>
        <v>46321</v>
      </c>
      <c r="C257" s="149"/>
      <c r="D257" s="149"/>
      <c r="E257" s="139"/>
      <c r="F257" s="6"/>
      <c r="G257" s="32"/>
    </row>
    <row r="258" spans="2:7" ht="13" x14ac:dyDescent="0.15">
      <c r="B258" s="134">
        <f t="shared" si="0"/>
        <v>46322</v>
      </c>
      <c r="C258" s="149"/>
      <c r="D258" s="149"/>
      <c r="E258" s="139"/>
      <c r="F258" s="6"/>
      <c r="G258" s="32"/>
    </row>
    <row r="259" spans="2:7" ht="13" x14ac:dyDescent="0.15">
      <c r="B259" s="134">
        <f t="shared" ref="B259:B279" si="1">B258+1</f>
        <v>46323</v>
      </c>
      <c r="C259" s="149"/>
      <c r="D259" s="149"/>
      <c r="E259" s="149"/>
      <c r="F259" s="6"/>
      <c r="G259" s="32"/>
    </row>
    <row r="260" spans="2:7" ht="13" x14ac:dyDescent="0.15">
      <c r="B260" s="134">
        <f t="shared" si="1"/>
        <v>46324</v>
      </c>
      <c r="C260" s="149"/>
      <c r="D260" s="149"/>
      <c r="E260" s="149"/>
      <c r="F260" s="6"/>
      <c r="G260" s="32"/>
    </row>
    <row r="261" spans="2:7" ht="13" x14ac:dyDescent="0.15">
      <c r="B261" s="134">
        <f t="shared" si="1"/>
        <v>46325</v>
      </c>
      <c r="C261" s="149"/>
      <c r="D261" s="149"/>
      <c r="E261" s="139"/>
      <c r="F261" s="6"/>
      <c r="G261" s="32"/>
    </row>
    <row r="262" spans="2:7" ht="13" x14ac:dyDescent="0.15">
      <c r="B262" s="134">
        <f t="shared" si="1"/>
        <v>46326</v>
      </c>
      <c r="C262" s="149"/>
      <c r="D262" s="149"/>
      <c r="E262" s="139"/>
      <c r="F262" s="6"/>
      <c r="G262" s="32"/>
    </row>
    <row r="263" spans="2:7" ht="13" x14ac:dyDescent="0.15">
      <c r="B263" s="134">
        <f t="shared" si="1"/>
        <v>46327</v>
      </c>
      <c r="C263" s="149"/>
      <c r="D263" s="149"/>
      <c r="E263" s="149"/>
      <c r="F263" s="6"/>
      <c r="G263" s="32"/>
    </row>
    <row r="264" spans="2:7" ht="13" x14ac:dyDescent="0.15">
      <c r="B264" s="134">
        <f t="shared" si="1"/>
        <v>46328</v>
      </c>
      <c r="C264" s="149"/>
      <c r="D264" s="149"/>
      <c r="E264" s="139"/>
      <c r="F264" s="6"/>
      <c r="G264" s="32"/>
    </row>
    <row r="265" spans="2:7" ht="13" x14ac:dyDescent="0.15">
      <c r="B265" s="134">
        <f t="shared" si="1"/>
        <v>46329</v>
      </c>
      <c r="C265" s="149"/>
      <c r="D265" s="149"/>
      <c r="E265" s="149"/>
      <c r="F265" s="6"/>
      <c r="G265" s="32"/>
    </row>
    <row r="266" spans="2:7" ht="13" x14ac:dyDescent="0.15">
      <c r="B266" s="134">
        <f t="shared" si="1"/>
        <v>46330</v>
      </c>
      <c r="C266" s="149"/>
      <c r="D266" s="149"/>
      <c r="E266" s="149"/>
      <c r="F266" s="6"/>
      <c r="G266" s="32"/>
    </row>
    <row r="267" spans="2:7" ht="13" x14ac:dyDescent="0.15">
      <c r="B267" s="134">
        <f t="shared" si="1"/>
        <v>46331</v>
      </c>
      <c r="C267" s="149"/>
      <c r="D267" s="149"/>
      <c r="E267" s="149"/>
      <c r="F267" s="6"/>
      <c r="G267" s="32"/>
    </row>
    <row r="268" spans="2:7" ht="13" x14ac:dyDescent="0.15">
      <c r="B268" s="134">
        <f t="shared" si="1"/>
        <v>46332</v>
      </c>
      <c r="C268" s="149"/>
      <c r="D268" s="149"/>
      <c r="E268" s="149"/>
      <c r="F268" s="6"/>
      <c r="G268" s="32"/>
    </row>
    <row r="269" spans="2:7" ht="13" x14ac:dyDescent="0.15">
      <c r="B269" s="134">
        <f t="shared" si="1"/>
        <v>46333</v>
      </c>
      <c r="C269" s="149"/>
      <c r="D269" s="149"/>
      <c r="E269" s="149"/>
      <c r="F269" s="6"/>
      <c r="G269" s="32"/>
    </row>
    <row r="270" spans="2:7" ht="13" x14ac:dyDescent="0.15">
      <c r="B270" s="134">
        <f t="shared" si="1"/>
        <v>46334</v>
      </c>
      <c r="C270" s="149"/>
      <c r="D270" s="149"/>
      <c r="E270" s="149"/>
      <c r="F270" s="6"/>
      <c r="G270" s="32"/>
    </row>
    <row r="271" spans="2:7" ht="13" x14ac:dyDescent="0.15">
      <c r="B271" s="134">
        <f t="shared" si="1"/>
        <v>46335</v>
      </c>
      <c r="C271" s="149"/>
      <c r="D271" s="149"/>
      <c r="E271" s="149"/>
      <c r="F271" s="6"/>
      <c r="G271" s="32"/>
    </row>
    <row r="272" spans="2:7" ht="13" x14ac:dyDescent="0.15">
      <c r="B272" s="134">
        <f t="shared" si="1"/>
        <v>46336</v>
      </c>
      <c r="C272" s="149"/>
      <c r="D272" s="149"/>
      <c r="E272" s="149"/>
      <c r="F272" s="6"/>
      <c r="G272" s="32"/>
    </row>
    <row r="273" spans="2:7" ht="13" x14ac:dyDescent="0.15">
      <c r="B273" s="134">
        <f t="shared" si="1"/>
        <v>46337</v>
      </c>
      <c r="C273" s="149"/>
      <c r="D273" s="149"/>
      <c r="E273" s="149"/>
      <c r="F273" s="6"/>
      <c r="G273" s="32"/>
    </row>
    <row r="274" spans="2:7" ht="13" x14ac:dyDescent="0.15">
      <c r="B274" s="134">
        <f t="shared" si="1"/>
        <v>46338</v>
      </c>
      <c r="C274" s="149"/>
      <c r="D274" s="149"/>
      <c r="E274" s="149"/>
      <c r="F274" s="6"/>
      <c r="G274" s="32"/>
    </row>
    <row r="275" spans="2:7" ht="13" x14ac:dyDescent="0.15">
      <c r="B275" s="134">
        <f t="shared" si="1"/>
        <v>46339</v>
      </c>
      <c r="C275" s="149"/>
      <c r="D275" s="149"/>
      <c r="E275" s="149"/>
      <c r="F275" s="6"/>
      <c r="G275" s="32"/>
    </row>
    <row r="276" spans="2:7" ht="13" x14ac:dyDescent="0.15">
      <c r="B276" s="134">
        <f t="shared" si="1"/>
        <v>46340</v>
      </c>
      <c r="C276" s="149"/>
      <c r="D276" s="149"/>
      <c r="E276" s="149"/>
      <c r="F276" s="6"/>
      <c r="G276" s="32"/>
    </row>
    <row r="277" spans="2:7" ht="13" x14ac:dyDescent="0.15">
      <c r="B277" s="134">
        <f t="shared" si="1"/>
        <v>46341</v>
      </c>
      <c r="C277" s="149"/>
      <c r="D277" s="149"/>
      <c r="E277" s="149"/>
      <c r="F277" s="6"/>
      <c r="G277" s="32"/>
    </row>
    <row r="278" spans="2:7" ht="13" x14ac:dyDescent="0.15">
      <c r="B278" s="134">
        <f t="shared" si="1"/>
        <v>46342</v>
      </c>
      <c r="C278" s="149"/>
      <c r="D278" s="149"/>
      <c r="E278" s="149"/>
      <c r="F278" s="6"/>
      <c r="G278" s="32"/>
    </row>
    <row r="279" spans="2:7" ht="13" x14ac:dyDescent="0.15">
      <c r="B279" s="134">
        <f t="shared" si="1"/>
        <v>46343</v>
      </c>
      <c r="C279" s="149"/>
      <c r="D279" s="149"/>
      <c r="E279" s="149"/>
      <c r="F279" s="6"/>
      <c r="G279" s="32"/>
    </row>
    <row r="280" spans="2:7" ht="13" x14ac:dyDescent="0.15">
      <c r="C280" s="70"/>
      <c r="D280" s="70"/>
      <c r="E280" s="70"/>
    </row>
    <row r="281" spans="2:7" ht="13" x14ac:dyDescent="0.15">
      <c r="C281" s="70"/>
      <c r="D281" s="70"/>
      <c r="E281" s="70"/>
    </row>
    <row r="282" spans="2:7" ht="13" x14ac:dyDescent="0.15">
      <c r="C282" s="70"/>
      <c r="D282" s="70"/>
      <c r="E282" s="70"/>
    </row>
    <row r="283" spans="2:7" ht="13" x14ac:dyDescent="0.15">
      <c r="C283" s="70"/>
      <c r="D283" s="70"/>
      <c r="E283" s="70"/>
    </row>
    <row r="284" spans="2:7" ht="13" x14ac:dyDescent="0.15">
      <c r="C284" s="70"/>
      <c r="D284" s="70"/>
      <c r="E284" s="70"/>
    </row>
    <row r="285" spans="2:7" ht="13" x14ac:dyDescent="0.15">
      <c r="C285" s="70"/>
      <c r="D285" s="70"/>
      <c r="E285" s="70"/>
    </row>
    <row r="286" spans="2:7" ht="13" x14ac:dyDescent="0.15">
      <c r="C286" s="70"/>
      <c r="D286" s="70"/>
      <c r="E286" s="70"/>
    </row>
    <row r="287" spans="2:7" ht="13" x14ac:dyDescent="0.15">
      <c r="C287" s="70"/>
      <c r="D287" s="70"/>
      <c r="E287" s="70"/>
    </row>
    <row r="288" spans="2:7" ht="13" x14ac:dyDescent="0.15">
      <c r="C288" s="70"/>
      <c r="D288" s="70"/>
      <c r="E288" s="70"/>
    </row>
    <row r="289" spans="3:5" ht="13" x14ac:dyDescent="0.15">
      <c r="C289" s="70"/>
      <c r="D289" s="70"/>
      <c r="E289" s="70"/>
    </row>
    <row r="290" spans="3:5" ht="13" x14ac:dyDescent="0.15">
      <c r="C290" s="70"/>
      <c r="D290" s="70"/>
      <c r="E290" s="70"/>
    </row>
    <row r="291" spans="3:5" ht="13" x14ac:dyDescent="0.15">
      <c r="C291" s="70"/>
      <c r="D291" s="70"/>
      <c r="E291" s="70"/>
    </row>
    <row r="292" spans="3:5" ht="13" x14ac:dyDescent="0.15">
      <c r="C292" s="70"/>
      <c r="D292" s="70"/>
      <c r="E292" s="70"/>
    </row>
    <row r="293" spans="3:5" ht="13" x14ac:dyDescent="0.15">
      <c r="C293" s="70"/>
      <c r="D293" s="70"/>
      <c r="E293" s="70"/>
    </row>
    <row r="294" spans="3:5" ht="13" x14ac:dyDescent="0.15">
      <c r="C294" s="70"/>
      <c r="D294" s="70"/>
      <c r="E294" s="70"/>
    </row>
    <row r="295" spans="3:5" ht="13" x14ac:dyDescent="0.15">
      <c r="C295" s="70"/>
      <c r="D295" s="70"/>
      <c r="E295" s="70"/>
    </row>
    <row r="296" spans="3:5" ht="13" x14ac:dyDescent="0.15">
      <c r="C296" s="70"/>
      <c r="D296" s="70"/>
      <c r="E296" s="70"/>
    </row>
    <row r="297" spans="3:5" ht="13" x14ac:dyDescent="0.15">
      <c r="C297" s="70"/>
      <c r="D297" s="70"/>
      <c r="E297" s="70"/>
    </row>
    <row r="298" spans="3:5" ht="13" x14ac:dyDescent="0.15">
      <c r="C298" s="70"/>
      <c r="D298" s="70"/>
      <c r="E298" s="70"/>
    </row>
    <row r="299" spans="3:5" ht="13" x14ac:dyDescent="0.15">
      <c r="C299" s="70"/>
      <c r="D299" s="70"/>
      <c r="E299" s="70"/>
    </row>
    <row r="300" spans="3:5" ht="13" x14ac:dyDescent="0.15">
      <c r="C300" s="70"/>
      <c r="D300" s="70"/>
      <c r="E300" s="70"/>
    </row>
    <row r="301" spans="3:5" ht="13" x14ac:dyDescent="0.15">
      <c r="C301" s="70"/>
      <c r="D301" s="70"/>
      <c r="E301" s="70"/>
    </row>
    <row r="302" spans="3:5" ht="13" x14ac:dyDescent="0.15">
      <c r="C302" s="70"/>
      <c r="D302" s="70"/>
      <c r="E302" s="70"/>
    </row>
    <row r="303" spans="3:5" ht="13" x14ac:dyDescent="0.15">
      <c r="C303" s="70"/>
      <c r="D303" s="70"/>
      <c r="E303" s="70"/>
    </row>
    <row r="304" spans="3:5" ht="13" x14ac:dyDescent="0.15">
      <c r="C304" s="70"/>
      <c r="D304" s="70"/>
      <c r="E304" s="70"/>
    </row>
    <row r="305" spans="3:5" ht="13" x14ac:dyDescent="0.15">
      <c r="C305" s="70"/>
      <c r="D305" s="70"/>
      <c r="E305" s="70"/>
    </row>
    <row r="306" spans="3:5" ht="13" x14ac:dyDescent="0.15">
      <c r="C306" s="70"/>
      <c r="D306" s="70"/>
      <c r="E306" s="70"/>
    </row>
    <row r="307" spans="3:5" ht="13" x14ac:dyDescent="0.15">
      <c r="C307" s="70"/>
      <c r="D307" s="70"/>
      <c r="E307" s="70"/>
    </row>
    <row r="308" spans="3:5" ht="13" x14ac:dyDescent="0.15">
      <c r="C308" s="70"/>
      <c r="D308" s="70"/>
      <c r="E308" s="70"/>
    </row>
    <row r="309" spans="3:5" ht="13" x14ac:dyDescent="0.15">
      <c r="C309" s="70"/>
      <c r="D309" s="70"/>
      <c r="E309" s="70"/>
    </row>
    <row r="310" spans="3:5" ht="13" x14ac:dyDescent="0.15">
      <c r="C310" s="70"/>
      <c r="D310" s="70"/>
      <c r="E310" s="70"/>
    </row>
    <row r="311" spans="3:5" ht="13" x14ac:dyDescent="0.15">
      <c r="C311" s="70"/>
      <c r="D311" s="70"/>
      <c r="E311" s="70"/>
    </row>
    <row r="312" spans="3:5" ht="13" x14ac:dyDescent="0.15">
      <c r="C312" s="70"/>
      <c r="D312" s="70"/>
      <c r="E312" s="70"/>
    </row>
    <row r="313" spans="3:5" ht="13" x14ac:dyDescent="0.15">
      <c r="C313" s="70"/>
      <c r="D313" s="70"/>
      <c r="E313" s="70"/>
    </row>
    <row r="314" spans="3:5" ht="13" x14ac:dyDescent="0.15">
      <c r="C314" s="70"/>
      <c r="D314" s="70"/>
      <c r="E314" s="70"/>
    </row>
    <row r="315" spans="3:5" ht="13" x14ac:dyDescent="0.15">
      <c r="C315" s="70"/>
      <c r="D315" s="70"/>
      <c r="E315" s="70"/>
    </row>
    <row r="316" spans="3:5" ht="13" x14ac:dyDescent="0.15">
      <c r="C316" s="70"/>
      <c r="D316" s="70"/>
      <c r="E316" s="70"/>
    </row>
    <row r="317" spans="3:5" ht="13" x14ac:dyDescent="0.15">
      <c r="C317" s="70"/>
      <c r="D317" s="70"/>
      <c r="E317" s="70"/>
    </row>
    <row r="318" spans="3:5" ht="13" x14ac:dyDescent="0.15">
      <c r="C318" s="70"/>
      <c r="D318" s="70"/>
      <c r="E318" s="70"/>
    </row>
    <row r="319" spans="3:5" ht="13" x14ac:dyDescent="0.15">
      <c r="C319" s="70"/>
      <c r="D319" s="70"/>
      <c r="E319" s="70"/>
    </row>
    <row r="320" spans="3:5" ht="13" x14ac:dyDescent="0.15">
      <c r="C320" s="70"/>
      <c r="D320" s="70"/>
      <c r="E320" s="70"/>
    </row>
    <row r="321" spans="3:5" ht="13" x14ac:dyDescent="0.15">
      <c r="C321" s="70"/>
      <c r="D321" s="70"/>
      <c r="E321" s="70"/>
    </row>
    <row r="322" spans="3:5" ht="13" x14ac:dyDescent="0.15">
      <c r="C322" s="70"/>
      <c r="D322" s="70"/>
      <c r="E322" s="70"/>
    </row>
    <row r="323" spans="3:5" ht="13" x14ac:dyDescent="0.15">
      <c r="C323" s="70"/>
      <c r="D323" s="70"/>
      <c r="E323" s="70"/>
    </row>
    <row r="324" spans="3:5" ht="13" x14ac:dyDescent="0.15">
      <c r="C324" s="70"/>
      <c r="D324" s="70"/>
      <c r="E324" s="70"/>
    </row>
    <row r="325" spans="3:5" ht="13" x14ac:dyDescent="0.15">
      <c r="C325" s="70"/>
      <c r="D325" s="70"/>
      <c r="E325" s="70"/>
    </row>
    <row r="326" spans="3:5" ht="13" x14ac:dyDescent="0.15">
      <c r="C326" s="70"/>
      <c r="D326" s="70"/>
      <c r="E326" s="70"/>
    </row>
    <row r="327" spans="3:5" ht="13" x14ac:dyDescent="0.15">
      <c r="C327" s="70"/>
      <c r="D327" s="70"/>
      <c r="E327" s="70"/>
    </row>
    <row r="328" spans="3:5" ht="13" x14ac:dyDescent="0.15">
      <c r="C328" s="70"/>
      <c r="D328" s="70"/>
      <c r="E328" s="70"/>
    </row>
    <row r="329" spans="3:5" ht="13" x14ac:dyDescent="0.15">
      <c r="C329" s="70"/>
      <c r="D329" s="70"/>
      <c r="E329" s="70"/>
    </row>
    <row r="330" spans="3:5" ht="13" x14ac:dyDescent="0.15">
      <c r="C330" s="70"/>
      <c r="D330" s="70"/>
      <c r="E330" s="70"/>
    </row>
    <row r="331" spans="3:5" ht="13" x14ac:dyDescent="0.15">
      <c r="C331" s="70"/>
      <c r="D331" s="70"/>
      <c r="E331" s="70"/>
    </row>
    <row r="332" spans="3:5" ht="13" x14ac:dyDescent="0.15">
      <c r="C332" s="70"/>
      <c r="D332" s="70"/>
      <c r="E332" s="70"/>
    </row>
    <row r="333" spans="3:5" ht="13" x14ac:dyDescent="0.15">
      <c r="C333" s="70"/>
      <c r="D333" s="70"/>
      <c r="E333" s="70"/>
    </row>
    <row r="334" spans="3:5" ht="13" x14ac:dyDescent="0.15">
      <c r="C334" s="70"/>
      <c r="D334" s="70"/>
      <c r="E334" s="70"/>
    </row>
    <row r="335" spans="3:5" ht="13" x14ac:dyDescent="0.15">
      <c r="C335" s="70"/>
      <c r="D335" s="70"/>
      <c r="E335" s="70"/>
    </row>
    <row r="336" spans="3:5" ht="13" x14ac:dyDescent="0.15">
      <c r="C336" s="70"/>
      <c r="D336" s="70"/>
      <c r="E336" s="70"/>
    </row>
    <row r="337" spans="3:5" ht="13" x14ac:dyDescent="0.15">
      <c r="C337" s="70"/>
      <c r="D337" s="70"/>
      <c r="E337" s="70"/>
    </row>
    <row r="338" spans="3:5" ht="13" x14ac:dyDescent="0.15">
      <c r="C338" s="70"/>
      <c r="D338" s="70"/>
      <c r="E338" s="70"/>
    </row>
    <row r="339" spans="3:5" ht="13" x14ac:dyDescent="0.15">
      <c r="C339" s="70"/>
      <c r="D339" s="70"/>
      <c r="E339" s="70"/>
    </row>
    <row r="340" spans="3:5" ht="13" x14ac:dyDescent="0.15">
      <c r="C340" s="70"/>
      <c r="D340" s="70"/>
      <c r="E340" s="70"/>
    </row>
    <row r="341" spans="3:5" ht="13" x14ac:dyDescent="0.15">
      <c r="C341" s="70"/>
      <c r="D341" s="70"/>
      <c r="E341" s="70"/>
    </row>
    <row r="342" spans="3:5" ht="13" x14ac:dyDescent="0.15">
      <c r="C342" s="70"/>
      <c r="D342" s="70"/>
      <c r="E342" s="70"/>
    </row>
    <row r="343" spans="3:5" ht="13" x14ac:dyDescent="0.15">
      <c r="C343" s="70"/>
      <c r="D343" s="70"/>
      <c r="E343" s="70"/>
    </row>
    <row r="344" spans="3:5" ht="13" x14ac:dyDescent="0.15">
      <c r="C344" s="70"/>
      <c r="D344" s="70"/>
      <c r="E344" s="70"/>
    </row>
    <row r="345" spans="3:5" ht="13" x14ac:dyDescent="0.15">
      <c r="C345" s="70"/>
      <c r="D345" s="70"/>
      <c r="E345" s="70"/>
    </row>
    <row r="346" spans="3:5" ht="13" x14ac:dyDescent="0.15">
      <c r="C346" s="70"/>
      <c r="D346" s="70"/>
      <c r="E346" s="70"/>
    </row>
    <row r="347" spans="3:5" ht="13" x14ac:dyDescent="0.15">
      <c r="C347" s="70"/>
      <c r="D347" s="70"/>
      <c r="E347" s="70"/>
    </row>
    <row r="348" spans="3:5" ht="13" x14ac:dyDescent="0.15">
      <c r="C348" s="70"/>
      <c r="D348" s="70"/>
      <c r="E348" s="70"/>
    </row>
    <row r="349" spans="3:5" ht="13" x14ac:dyDescent="0.15">
      <c r="C349" s="70"/>
      <c r="D349" s="70"/>
      <c r="E349" s="70"/>
    </row>
    <row r="350" spans="3:5" ht="13" x14ac:dyDescent="0.15">
      <c r="C350" s="70"/>
      <c r="D350" s="70"/>
      <c r="E350" s="70"/>
    </row>
    <row r="351" spans="3:5" ht="13" x14ac:dyDescent="0.15">
      <c r="C351" s="70"/>
      <c r="D351" s="70"/>
      <c r="E351" s="70"/>
    </row>
    <row r="352" spans="3:5" ht="13" x14ac:dyDescent="0.15">
      <c r="C352" s="70"/>
      <c r="D352" s="70"/>
      <c r="E352" s="70"/>
    </row>
    <row r="353" spans="3:5" ht="13" x14ac:dyDescent="0.15">
      <c r="C353" s="70"/>
      <c r="D353" s="70"/>
      <c r="E353" s="70"/>
    </row>
    <row r="354" spans="3:5" ht="13" x14ac:dyDescent="0.15">
      <c r="C354" s="70"/>
      <c r="D354" s="70"/>
      <c r="E354" s="70"/>
    </row>
    <row r="355" spans="3:5" ht="13" x14ac:dyDescent="0.15">
      <c r="C355" s="70"/>
      <c r="D355" s="70"/>
      <c r="E355" s="70"/>
    </row>
    <row r="356" spans="3:5" ht="13" x14ac:dyDescent="0.15">
      <c r="C356" s="70"/>
      <c r="D356" s="70"/>
      <c r="E356" s="70"/>
    </row>
    <row r="357" spans="3:5" ht="13" x14ac:dyDescent="0.15">
      <c r="C357" s="70"/>
      <c r="D357" s="70"/>
      <c r="E357" s="70"/>
    </row>
    <row r="358" spans="3:5" ht="13" x14ac:dyDescent="0.15">
      <c r="C358" s="70"/>
      <c r="D358" s="70"/>
      <c r="E358" s="70"/>
    </row>
    <row r="359" spans="3:5" ht="13" x14ac:dyDescent="0.15">
      <c r="C359" s="70"/>
      <c r="D359" s="70"/>
      <c r="E359" s="70"/>
    </row>
    <row r="360" spans="3:5" ht="13" x14ac:dyDescent="0.15">
      <c r="C360" s="70"/>
      <c r="D360" s="70"/>
      <c r="E360" s="70"/>
    </row>
    <row r="361" spans="3:5" ht="13" x14ac:dyDescent="0.15">
      <c r="C361" s="70"/>
      <c r="D361" s="70"/>
      <c r="E361" s="70"/>
    </row>
    <row r="362" spans="3:5" ht="13" x14ac:dyDescent="0.15">
      <c r="C362" s="70"/>
      <c r="D362" s="70"/>
      <c r="E362" s="70"/>
    </row>
    <row r="363" spans="3:5" ht="13" x14ac:dyDescent="0.15">
      <c r="C363" s="70"/>
      <c r="D363" s="70"/>
      <c r="E363" s="70"/>
    </row>
    <row r="364" spans="3:5" ht="13" x14ac:dyDescent="0.15">
      <c r="C364" s="70"/>
      <c r="D364" s="70"/>
      <c r="E364" s="70"/>
    </row>
    <row r="365" spans="3:5" ht="13" x14ac:dyDescent="0.15">
      <c r="C365" s="70"/>
      <c r="D365" s="70"/>
      <c r="E365" s="70"/>
    </row>
    <row r="366" spans="3:5" ht="13" x14ac:dyDescent="0.15">
      <c r="C366" s="70"/>
      <c r="D366" s="70"/>
      <c r="E366" s="70"/>
    </row>
    <row r="367" spans="3:5" ht="13" x14ac:dyDescent="0.15">
      <c r="C367" s="70"/>
      <c r="D367" s="70"/>
      <c r="E367" s="70"/>
    </row>
    <row r="368" spans="3:5" ht="13" x14ac:dyDescent="0.15">
      <c r="C368" s="70"/>
      <c r="D368" s="70"/>
      <c r="E368" s="70"/>
    </row>
    <row r="369" spans="3:5" ht="13" x14ac:dyDescent="0.15">
      <c r="C369" s="70"/>
      <c r="D369" s="70"/>
      <c r="E369" s="70"/>
    </row>
    <row r="370" spans="3:5" ht="13" x14ac:dyDescent="0.15">
      <c r="C370" s="70"/>
      <c r="D370" s="70"/>
      <c r="E370" s="70"/>
    </row>
    <row r="371" spans="3:5" ht="13" x14ac:dyDescent="0.15">
      <c r="C371" s="70"/>
      <c r="D371" s="70"/>
      <c r="E371" s="70"/>
    </row>
    <row r="372" spans="3:5" ht="13" x14ac:dyDescent="0.15">
      <c r="C372" s="70"/>
      <c r="D372" s="70"/>
      <c r="E372" s="70"/>
    </row>
    <row r="373" spans="3:5" ht="13" x14ac:dyDescent="0.15">
      <c r="C373" s="70"/>
      <c r="D373" s="70"/>
      <c r="E373" s="70"/>
    </row>
    <row r="374" spans="3:5" ht="13" x14ac:dyDescent="0.15">
      <c r="C374" s="70"/>
      <c r="D374" s="70"/>
      <c r="E374" s="70"/>
    </row>
    <row r="375" spans="3:5" ht="13" x14ac:dyDescent="0.15">
      <c r="C375" s="70"/>
      <c r="D375" s="70"/>
      <c r="E375" s="70"/>
    </row>
    <row r="376" spans="3:5" ht="13" x14ac:dyDescent="0.15">
      <c r="C376" s="70"/>
      <c r="D376" s="70"/>
      <c r="E376" s="70"/>
    </row>
    <row r="377" spans="3:5" ht="13" x14ac:dyDescent="0.15">
      <c r="C377" s="70"/>
      <c r="D377" s="70"/>
      <c r="E377" s="70"/>
    </row>
    <row r="378" spans="3:5" ht="13" x14ac:dyDescent="0.15">
      <c r="C378" s="70"/>
      <c r="D378" s="70"/>
      <c r="E378" s="70"/>
    </row>
    <row r="379" spans="3:5" ht="13" x14ac:dyDescent="0.15">
      <c r="C379" s="70"/>
      <c r="D379" s="70"/>
      <c r="E379" s="70"/>
    </row>
    <row r="380" spans="3:5" ht="13" x14ac:dyDescent="0.15">
      <c r="C380" s="70"/>
      <c r="D380" s="70"/>
      <c r="E380" s="70"/>
    </row>
    <row r="381" spans="3:5" ht="13" x14ac:dyDescent="0.15">
      <c r="C381" s="70"/>
      <c r="D381" s="70"/>
      <c r="E381" s="70"/>
    </row>
    <row r="382" spans="3:5" ht="13" x14ac:dyDescent="0.15">
      <c r="C382" s="70"/>
      <c r="D382" s="70"/>
      <c r="E382" s="70"/>
    </row>
    <row r="383" spans="3:5" ht="13" x14ac:dyDescent="0.15">
      <c r="C383" s="70"/>
      <c r="D383" s="70"/>
      <c r="E383" s="70"/>
    </row>
    <row r="384" spans="3:5" ht="13" x14ac:dyDescent="0.15">
      <c r="C384" s="70"/>
      <c r="D384" s="70"/>
      <c r="E384" s="70"/>
    </row>
    <row r="385" spans="3:5" ht="13" x14ac:dyDescent="0.15">
      <c r="C385" s="70"/>
      <c r="D385" s="70"/>
      <c r="E385" s="70"/>
    </row>
    <row r="386" spans="3:5" ht="13" x14ac:dyDescent="0.15">
      <c r="C386" s="70"/>
      <c r="D386" s="70"/>
      <c r="E386" s="70"/>
    </row>
    <row r="387" spans="3:5" ht="13" x14ac:dyDescent="0.15">
      <c r="C387" s="70"/>
      <c r="D387" s="70"/>
      <c r="E387" s="70"/>
    </row>
    <row r="388" spans="3:5" ht="13" x14ac:dyDescent="0.15">
      <c r="C388" s="70"/>
      <c r="D388" s="70"/>
      <c r="E388" s="70"/>
    </row>
    <row r="389" spans="3:5" ht="13" x14ac:dyDescent="0.15">
      <c r="C389" s="70"/>
      <c r="D389" s="70"/>
      <c r="E389" s="70"/>
    </row>
    <row r="390" spans="3:5" ht="13" x14ac:dyDescent="0.15">
      <c r="C390" s="70"/>
      <c r="D390" s="70"/>
      <c r="E390" s="70"/>
    </row>
    <row r="391" spans="3:5" ht="13" x14ac:dyDescent="0.15">
      <c r="C391" s="70"/>
      <c r="D391" s="70"/>
      <c r="E391" s="70"/>
    </row>
    <row r="392" spans="3:5" ht="13" x14ac:dyDescent="0.15">
      <c r="C392" s="70"/>
      <c r="D392" s="70"/>
      <c r="E392" s="70"/>
    </row>
    <row r="393" spans="3:5" ht="13" x14ac:dyDescent="0.15">
      <c r="C393" s="70"/>
      <c r="D393" s="70"/>
      <c r="E393" s="70"/>
    </row>
    <row r="394" spans="3:5" ht="13" x14ac:dyDescent="0.15">
      <c r="C394" s="70"/>
      <c r="D394" s="70"/>
      <c r="E394" s="70"/>
    </row>
    <row r="395" spans="3:5" ht="13" x14ac:dyDescent="0.15">
      <c r="C395" s="70"/>
      <c r="D395" s="70"/>
      <c r="E395" s="70"/>
    </row>
    <row r="396" spans="3:5" ht="13" x14ac:dyDescent="0.15">
      <c r="C396" s="70"/>
      <c r="D396" s="70"/>
      <c r="E396" s="70"/>
    </row>
    <row r="397" spans="3:5" ht="13" x14ac:dyDescent="0.15">
      <c r="C397" s="70"/>
      <c r="D397" s="70"/>
      <c r="E397" s="70"/>
    </row>
    <row r="398" spans="3:5" ht="13" x14ac:dyDescent="0.15">
      <c r="C398" s="70"/>
      <c r="D398" s="70"/>
      <c r="E398" s="70"/>
    </row>
    <row r="399" spans="3:5" ht="13" x14ac:dyDescent="0.15">
      <c r="C399" s="70"/>
      <c r="D399" s="70"/>
      <c r="E399" s="70"/>
    </row>
    <row r="400" spans="3:5" ht="13" x14ac:dyDescent="0.15">
      <c r="C400" s="70"/>
      <c r="D400" s="70"/>
      <c r="E400" s="70"/>
    </row>
    <row r="401" spans="3:5" ht="13" x14ac:dyDescent="0.15">
      <c r="C401" s="70"/>
      <c r="D401" s="70"/>
      <c r="E401" s="70"/>
    </row>
    <row r="402" spans="3:5" ht="13" x14ac:dyDescent="0.15">
      <c r="C402" s="70"/>
      <c r="D402" s="70"/>
      <c r="E402" s="70"/>
    </row>
    <row r="403" spans="3:5" ht="13" x14ac:dyDescent="0.15">
      <c r="C403" s="70"/>
      <c r="D403" s="70"/>
      <c r="E403" s="70"/>
    </row>
    <row r="404" spans="3:5" ht="13" x14ac:dyDescent="0.15">
      <c r="C404" s="70"/>
      <c r="D404" s="70"/>
      <c r="E404" s="70"/>
    </row>
    <row r="405" spans="3:5" ht="13" x14ac:dyDescent="0.15">
      <c r="C405" s="70"/>
      <c r="D405" s="70"/>
      <c r="E405" s="70"/>
    </row>
    <row r="406" spans="3:5" ht="13" x14ac:dyDescent="0.15">
      <c r="C406" s="70"/>
      <c r="D406" s="70"/>
      <c r="E406" s="70"/>
    </row>
    <row r="407" spans="3:5" ht="13" x14ac:dyDescent="0.15">
      <c r="C407" s="70"/>
      <c r="D407" s="70"/>
      <c r="E407" s="70"/>
    </row>
    <row r="408" spans="3:5" ht="13" x14ac:dyDescent="0.15">
      <c r="C408" s="70"/>
      <c r="D408" s="70"/>
      <c r="E408" s="70"/>
    </row>
    <row r="409" spans="3:5" ht="13" x14ac:dyDescent="0.15">
      <c r="C409" s="70"/>
      <c r="D409" s="70"/>
      <c r="E409" s="70"/>
    </row>
    <row r="410" spans="3:5" ht="13" x14ac:dyDescent="0.15">
      <c r="C410" s="70"/>
      <c r="D410" s="70"/>
      <c r="E410" s="70"/>
    </row>
    <row r="411" spans="3:5" ht="13" x14ac:dyDescent="0.15">
      <c r="C411" s="70"/>
      <c r="D411" s="70"/>
      <c r="E411" s="70"/>
    </row>
    <row r="412" spans="3:5" ht="13" x14ac:dyDescent="0.15">
      <c r="C412" s="70"/>
      <c r="D412" s="70"/>
      <c r="E412" s="70"/>
    </row>
    <row r="413" spans="3:5" ht="13" x14ac:dyDescent="0.15">
      <c r="C413" s="70"/>
      <c r="D413" s="70"/>
      <c r="E413" s="70"/>
    </row>
    <row r="414" spans="3:5" ht="13" x14ac:dyDescent="0.15">
      <c r="C414" s="70"/>
      <c r="D414" s="70"/>
      <c r="E414" s="70"/>
    </row>
    <row r="415" spans="3:5" ht="13" x14ac:dyDescent="0.15">
      <c r="C415" s="70"/>
      <c r="D415" s="70"/>
      <c r="E415" s="70"/>
    </row>
    <row r="416" spans="3:5" ht="13" x14ac:dyDescent="0.15">
      <c r="C416" s="70"/>
      <c r="D416" s="70"/>
      <c r="E416" s="70"/>
    </row>
    <row r="417" spans="3:5" ht="13" x14ac:dyDescent="0.15">
      <c r="C417" s="70"/>
      <c r="D417" s="70"/>
      <c r="E417" s="70"/>
    </row>
    <row r="418" spans="3:5" ht="13" x14ac:dyDescent="0.15">
      <c r="C418" s="70"/>
      <c r="D418" s="70"/>
      <c r="E418" s="70"/>
    </row>
    <row r="419" spans="3:5" ht="13" x14ac:dyDescent="0.15">
      <c r="C419" s="70"/>
      <c r="D419" s="70"/>
      <c r="E419" s="70"/>
    </row>
    <row r="420" spans="3:5" ht="13" x14ac:dyDescent="0.15">
      <c r="C420" s="70"/>
      <c r="D420" s="70"/>
      <c r="E420" s="70"/>
    </row>
    <row r="421" spans="3:5" ht="13" x14ac:dyDescent="0.15">
      <c r="C421" s="70"/>
      <c r="D421" s="70"/>
      <c r="E421" s="70"/>
    </row>
    <row r="422" spans="3:5" ht="13" x14ac:dyDescent="0.15">
      <c r="C422" s="70"/>
      <c r="D422" s="70"/>
      <c r="E422" s="70"/>
    </row>
    <row r="423" spans="3:5" ht="13" x14ac:dyDescent="0.15">
      <c r="C423" s="70"/>
      <c r="D423" s="70"/>
      <c r="E423" s="70"/>
    </row>
    <row r="424" spans="3:5" ht="13" x14ac:dyDescent="0.15">
      <c r="C424" s="70"/>
      <c r="D424" s="70"/>
      <c r="E424" s="70"/>
    </row>
    <row r="425" spans="3:5" ht="13" x14ac:dyDescent="0.15">
      <c r="C425" s="70"/>
      <c r="D425" s="70"/>
      <c r="E425" s="70"/>
    </row>
    <row r="426" spans="3:5" ht="13" x14ac:dyDescent="0.15">
      <c r="C426" s="70"/>
      <c r="D426" s="70"/>
      <c r="E426" s="70"/>
    </row>
    <row r="427" spans="3:5" ht="13" x14ac:dyDescent="0.15">
      <c r="C427" s="70"/>
      <c r="D427" s="70"/>
      <c r="E427" s="70"/>
    </row>
    <row r="428" spans="3:5" ht="13" x14ac:dyDescent="0.15">
      <c r="C428" s="70"/>
      <c r="D428" s="70"/>
      <c r="E428" s="70"/>
    </row>
    <row r="429" spans="3:5" ht="13" x14ac:dyDescent="0.15">
      <c r="C429" s="70"/>
      <c r="D429" s="70"/>
      <c r="E429" s="70"/>
    </row>
    <row r="430" spans="3:5" ht="13" x14ac:dyDescent="0.15">
      <c r="C430" s="70"/>
      <c r="D430" s="70"/>
      <c r="E430" s="70"/>
    </row>
    <row r="431" spans="3:5" ht="13" x14ac:dyDescent="0.15">
      <c r="C431" s="70"/>
      <c r="D431" s="70"/>
      <c r="E431" s="70"/>
    </row>
    <row r="432" spans="3:5" ht="13" x14ac:dyDescent="0.15">
      <c r="C432" s="70"/>
      <c r="D432" s="70"/>
      <c r="E432" s="70"/>
    </row>
    <row r="433" spans="3:5" ht="13" x14ac:dyDescent="0.15">
      <c r="C433" s="70"/>
      <c r="D433" s="70"/>
      <c r="E433" s="70"/>
    </row>
    <row r="434" spans="3:5" ht="13" x14ac:dyDescent="0.15">
      <c r="C434" s="70"/>
      <c r="D434" s="70"/>
      <c r="E434" s="70"/>
    </row>
    <row r="435" spans="3:5" ht="13" x14ac:dyDescent="0.15">
      <c r="C435" s="70"/>
      <c r="D435" s="70"/>
      <c r="E435" s="70"/>
    </row>
    <row r="436" spans="3:5" ht="13" x14ac:dyDescent="0.15">
      <c r="C436" s="70"/>
      <c r="D436" s="70"/>
      <c r="E436" s="70"/>
    </row>
    <row r="437" spans="3:5" ht="13" x14ac:dyDescent="0.15">
      <c r="C437" s="70"/>
      <c r="D437" s="70"/>
      <c r="E437" s="70"/>
    </row>
    <row r="438" spans="3:5" ht="13" x14ac:dyDescent="0.15">
      <c r="C438" s="70"/>
      <c r="D438" s="70"/>
      <c r="E438" s="70"/>
    </row>
    <row r="439" spans="3:5" ht="13" x14ac:dyDescent="0.15">
      <c r="C439" s="70"/>
      <c r="D439" s="70"/>
      <c r="E439" s="70"/>
    </row>
    <row r="440" spans="3:5" ht="13" x14ac:dyDescent="0.15">
      <c r="C440" s="70"/>
      <c r="D440" s="70"/>
      <c r="E440" s="70"/>
    </row>
    <row r="441" spans="3:5" ht="13" x14ac:dyDescent="0.15">
      <c r="C441" s="70"/>
      <c r="D441" s="70"/>
      <c r="E441" s="70"/>
    </row>
    <row r="442" spans="3:5" ht="13" x14ac:dyDescent="0.15">
      <c r="C442" s="70"/>
      <c r="D442" s="70"/>
      <c r="E442" s="70"/>
    </row>
    <row r="443" spans="3:5" ht="13" x14ac:dyDescent="0.15">
      <c r="C443" s="70"/>
      <c r="D443" s="70"/>
      <c r="E443" s="70"/>
    </row>
    <row r="444" spans="3:5" ht="13" x14ac:dyDescent="0.15">
      <c r="C444" s="70"/>
      <c r="D444" s="70"/>
      <c r="E444" s="70"/>
    </row>
    <row r="445" spans="3:5" ht="13" x14ac:dyDescent="0.15">
      <c r="C445" s="70"/>
      <c r="D445" s="70"/>
      <c r="E445" s="70"/>
    </row>
    <row r="446" spans="3:5" ht="13" x14ac:dyDescent="0.15">
      <c r="C446" s="70"/>
      <c r="D446" s="70"/>
      <c r="E446" s="70"/>
    </row>
    <row r="447" spans="3:5" ht="13" x14ac:dyDescent="0.15">
      <c r="C447" s="70"/>
      <c r="D447" s="70"/>
      <c r="E447" s="70"/>
    </row>
    <row r="448" spans="3:5" ht="13" x14ac:dyDescent="0.15">
      <c r="C448" s="70"/>
      <c r="D448" s="70"/>
      <c r="E448" s="70"/>
    </row>
    <row r="449" spans="3:5" ht="13" x14ac:dyDescent="0.15">
      <c r="C449" s="70"/>
      <c r="D449" s="70"/>
      <c r="E449" s="70"/>
    </row>
    <row r="450" spans="3:5" ht="13" x14ac:dyDescent="0.15">
      <c r="C450" s="70"/>
      <c r="D450" s="70"/>
      <c r="E450" s="70"/>
    </row>
    <row r="451" spans="3:5" ht="13" x14ac:dyDescent="0.15">
      <c r="C451" s="70"/>
      <c r="D451" s="70"/>
      <c r="E451" s="70"/>
    </row>
    <row r="452" spans="3:5" ht="13" x14ac:dyDescent="0.15">
      <c r="C452" s="70"/>
      <c r="D452" s="70"/>
      <c r="E452" s="70"/>
    </row>
    <row r="453" spans="3:5" ht="13" x14ac:dyDescent="0.15">
      <c r="C453" s="70"/>
      <c r="D453" s="70"/>
      <c r="E453" s="70"/>
    </row>
    <row r="454" spans="3:5" ht="13" x14ac:dyDescent="0.15">
      <c r="C454" s="70"/>
      <c r="D454" s="70"/>
      <c r="E454" s="70"/>
    </row>
    <row r="455" spans="3:5" ht="13" x14ac:dyDescent="0.15">
      <c r="C455" s="70"/>
      <c r="D455" s="70"/>
      <c r="E455" s="70"/>
    </row>
    <row r="456" spans="3:5" ht="13" x14ac:dyDescent="0.15">
      <c r="C456" s="70"/>
      <c r="D456" s="70"/>
      <c r="E456" s="70"/>
    </row>
    <row r="457" spans="3:5" ht="13" x14ac:dyDescent="0.15">
      <c r="C457" s="70"/>
      <c r="D457" s="70"/>
      <c r="E457" s="70"/>
    </row>
    <row r="458" spans="3:5" ht="13" x14ac:dyDescent="0.15">
      <c r="C458" s="70"/>
      <c r="D458" s="70"/>
      <c r="E458" s="70"/>
    </row>
    <row r="459" spans="3:5" ht="13" x14ac:dyDescent="0.15">
      <c r="C459" s="70"/>
      <c r="D459" s="70"/>
      <c r="E459" s="70"/>
    </row>
    <row r="460" spans="3:5" ht="13" x14ac:dyDescent="0.15">
      <c r="C460" s="70"/>
      <c r="D460" s="70"/>
      <c r="E460" s="70"/>
    </row>
    <row r="461" spans="3:5" ht="13" x14ac:dyDescent="0.15">
      <c r="C461" s="70"/>
      <c r="D461" s="70"/>
      <c r="E461" s="70"/>
    </row>
    <row r="462" spans="3:5" ht="13" x14ac:dyDescent="0.15">
      <c r="C462" s="70"/>
      <c r="D462" s="70"/>
      <c r="E462" s="70"/>
    </row>
    <row r="463" spans="3:5" ht="13" x14ac:dyDescent="0.15">
      <c r="C463" s="70"/>
      <c r="D463" s="70"/>
      <c r="E463" s="70"/>
    </row>
    <row r="464" spans="3:5" ht="13" x14ac:dyDescent="0.15">
      <c r="C464" s="70"/>
      <c r="D464" s="70"/>
      <c r="E464" s="70"/>
    </row>
    <row r="465" spans="3:5" ht="13" x14ac:dyDescent="0.15">
      <c r="C465" s="70"/>
      <c r="D465" s="70"/>
      <c r="E465" s="70"/>
    </row>
    <row r="466" spans="3:5" ht="13" x14ac:dyDescent="0.15">
      <c r="C466" s="70"/>
      <c r="D466" s="70"/>
      <c r="E466" s="70"/>
    </row>
    <row r="467" spans="3:5" ht="13" x14ac:dyDescent="0.15">
      <c r="C467" s="70"/>
      <c r="D467" s="70"/>
      <c r="E467" s="70"/>
    </row>
    <row r="468" spans="3:5" ht="13" x14ac:dyDescent="0.15">
      <c r="C468" s="70"/>
      <c r="D468" s="70"/>
      <c r="E468" s="70"/>
    </row>
    <row r="469" spans="3:5" ht="13" x14ac:dyDescent="0.15">
      <c r="C469" s="70"/>
      <c r="D469" s="70"/>
      <c r="E469" s="70"/>
    </row>
    <row r="470" spans="3:5" ht="13" x14ac:dyDescent="0.15">
      <c r="C470" s="70"/>
      <c r="D470" s="70"/>
      <c r="E470" s="70"/>
    </row>
    <row r="471" spans="3:5" ht="13" x14ac:dyDescent="0.15">
      <c r="C471" s="70"/>
      <c r="D471" s="70"/>
      <c r="E471" s="70"/>
    </row>
    <row r="472" spans="3:5" ht="13" x14ac:dyDescent="0.15">
      <c r="C472" s="70"/>
      <c r="D472" s="70"/>
      <c r="E472" s="70"/>
    </row>
    <row r="473" spans="3:5" ht="13" x14ac:dyDescent="0.15">
      <c r="C473" s="70"/>
      <c r="D473" s="70"/>
      <c r="E473" s="70"/>
    </row>
    <row r="474" spans="3:5" ht="13" x14ac:dyDescent="0.15">
      <c r="C474" s="70"/>
      <c r="D474" s="70"/>
      <c r="E474" s="70"/>
    </row>
    <row r="475" spans="3:5" ht="13" x14ac:dyDescent="0.15">
      <c r="C475" s="70"/>
      <c r="D475" s="70"/>
      <c r="E475" s="70"/>
    </row>
    <row r="476" spans="3:5" ht="13" x14ac:dyDescent="0.15">
      <c r="C476" s="70"/>
      <c r="D476" s="70"/>
      <c r="E476" s="70"/>
    </row>
    <row r="477" spans="3:5" ht="13" x14ac:dyDescent="0.15">
      <c r="C477" s="70"/>
      <c r="D477" s="70"/>
      <c r="E477" s="70"/>
    </row>
    <row r="478" spans="3:5" ht="13" x14ac:dyDescent="0.15">
      <c r="C478" s="70"/>
      <c r="D478" s="70"/>
      <c r="E478" s="70"/>
    </row>
    <row r="479" spans="3:5" ht="13" x14ac:dyDescent="0.15">
      <c r="C479" s="70"/>
      <c r="D479" s="70"/>
      <c r="E479" s="70"/>
    </row>
    <row r="480" spans="3:5" ht="13" x14ac:dyDescent="0.15">
      <c r="C480" s="70"/>
      <c r="D480" s="70"/>
      <c r="E480" s="70"/>
    </row>
    <row r="481" spans="3:5" ht="13" x14ac:dyDescent="0.15">
      <c r="C481" s="70"/>
      <c r="D481" s="70"/>
      <c r="E481" s="70"/>
    </row>
    <row r="482" spans="3:5" ht="13" x14ac:dyDescent="0.15">
      <c r="C482" s="70"/>
      <c r="D482" s="70"/>
      <c r="E482" s="70"/>
    </row>
    <row r="483" spans="3:5" ht="13" x14ac:dyDescent="0.15">
      <c r="C483" s="70"/>
      <c r="D483" s="70"/>
      <c r="E483" s="70"/>
    </row>
    <row r="484" spans="3:5" ht="13" x14ac:dyDescent="0.15">
      <c r="C484" s="70"/>
      <c r="D484" s="70"/>
      <c r="E484" s="70"/>
    </row>
    <row r="485" spans="3:5" ht="13" x14ac:dyDescent="0.15">
      <c r="C485" s="70"/>
      <c r="D485" s="70"/>
      <c r="E485" s="70"/>
    </row>
    <row r="486" spans="3:5" ht="13" x14ac:dyDescent="0.15">
      <c r="C486" s="70"/>
      <c r="D486" s="70"/>
      <c r="E486" s="70"/>
    </row>
    <row r="487" spans="3:5" ht="13" x14ac:dyDescent="0.15">
      <c r="C487" s="70"/>
      <c r="D487" s="70"/>
      <c r="E487" s="70"/>
    </row>
    <row r="488" spans="3:5" ht="13" x14ac:dyDescent="0.15">
      <c r="C488" s="70"/>
      <c r="D488" s="70"/>
      <c r="E488" s="70"/>
    </row>
    <row r="489" spans="3:5" ht="13" x14ac:dyDescent="0.15">
      <c r="C489" s="70"/>
      <c r="D489" s="70"/>
      <c r="E489" s="70"/>
    </row>
    <row r="490" spans="3:5" ht="13" x14ac:dyDescent="0.15">
      <c r="C490" s="70"/>
      <c r="D490" s="70"/>
      <c r="E490" s="70"/>
    </row>
    <row r="491" spans="3:5" ht="13" x14ac:dyDescent="0.15">
      <c r="C491" s="70"/>
      <c r="D491" s="70"/>
      <c r="E491" s="70"/>
    </row>
    <row r="492" spans="3:5" ht="13" x14ac:dyDescent="0.15">
      <c r="C492" s="70"/>
      <c r="D492" s="70"/>
      <c r="E492" s="70"/>
    </row>
    <row r="493" spans="3:5" ht="13" x14ac:dyDescent="0.15">
      <c r="C493" s="70"/>
      <c r="D493" s="70"/>
      <c r="E493" s="70"/>
    </row>
    <row r="494" spans="3:5" ht="13" x14ac:dyDescent="0.15">
      <c r="C494" s="70"/>
      <c r="D494" s="70"/>
      <c r="E494" s="70"/>
    </row>
    <row r="495" spans="3:5" ht="13" x14ac:dyDescent="0.15">
      <c r="C495" s="70"/>
      <c r="D495" s="70"/>
      <c r="E495" s="70"/>
    </row>
    <row r="496" spans="3:5" ht="13" x14ac:dyDescent="0.15">
      <c r="C496" s="70"/>
      <c r="D496" s="70"/>
      <c r="E496" s="70"/>
    </row>
    <row r="497" spans="3:5" ht="13" x14ac:dyDescent="0.15">
      <c r="C497" s="70"/>
      <c r="D497" s="70"/>
      <c r="E497" s="70"/>
    </row>
    <row r="498" spans="3:5" ht="13" x14ac:dyDescent="0.15">
      <c r="C498" s="70"/>
      <c r="D498" s="70"/>
      <c r="E498" s="70"/>
    </row>
    <row r="499" spans="3:5" ht="13" x14ac:dyDescent="0.15">
      <c r="C499" s="70"/>
      <c r="D499" s="70"/>
      <c r="E499" s="70"/>
    </row>
    <row r="500" spans="3:5" ht="13" x14ac:dyDescent="0.15">
      <c r="C500" s="70"/>
      <c r="D500" s="70"/>
      <c r="E500" s="70"/>
    </row>
    <row r="501" spans="3:5" ht="13" x14ac:dyDescent="0.15">
      <c r="C501" s="70"/>
      <c r="D501" s="70"/>
      <c r="E501" s="70"/>
    </row>
    <row r="502" spans="3:5" ht="13" x14ac:dyDescent="0.15">
      <c r="C502" s="70"/>
      <c r="D502" s="70"/>
      <c r="E502" s="70"/>
    </row>
    <row r="503" spans="3:5" ht="13" x14ac:dyDescent="0.15">
      <c r="C503" s="70"/>
      <c r="D503" s="70"/>
      <c r="E503" s="70"/>
    </row>
    <row r="504" spans="3:5" ht="13" x14ac:dyDescent="0.15">
      <c r="C504" s="70"/>
      <c r="D504" s="70"/>
      <c r="E504" s="70"/>
    </row>
    <row r="505" spans="3:5" ht="13" x14ac:dyDescent="0.15">
      <c r="C505" s="70"/>
      <c r="D505" s="70"/>
      <c r="E505" s="70"/>
    </row>
    <row r="506" spans="3:5" ht="13" x14ac:dyDescent="0.15">
      <c r="C506" s="70"/>
      <c r="D506" s="70"/>
      <c r="E506" s="70"/>
    </row>
    <row r="507" spans="3:5" ht="13" x14ac:dyDescent="0.15">
      <c r="C507" s="70"/>
      <c r="D507" s="70"/>
      <c r="E507" s="70"/>
    </row>
    <row r="508" spans="3:5" ht="13" x14ac:dyDescent="0.15">
      <c r="C508" s="70"/>
      <c r="D508" s="70"/>
      <c r="E508" s="70"/>
    </row>
    <row r="509" spans="3:5" ht="13" x14ac:dyDescent="0.15">
      <c r="C509" s="70"/>
      <c r="D509" s="70"/>
      <c r="E509" s="70"/>
    </row>
    <row r="510" spans="3:5" ht="13" x14ac:dyDescent="0.15">
      <c r="C510" s="70"/>
      <c r="D510" s="70"/>
      <c r="E510" s="70"/>
    </row>
    <row r="511" spans="3:5" ht="13" x14ac:dyDescent="0.15">
      <c r="C511" s="70"/>
      <c r="D511" s="70"/>
      <c r="E511" s="70"/>
    </row>
    <row r="512" spans="3:5" ht="13" x14ac:dyDescent="0.15">
      <c r="C512" s="70"/>
      <c r="D512" s="70"/>
      <c r="E512" s="70"/>
    </row>
    <row r="513" spans="3:5" ht="13" x14ac:dyDescent="0.15">
      <c r="C513" s="70"/>
      <c r="D513" s="70"/>
      <c r="E513" s="70"/>
    </row>
    <row r="514" spans="3:5" ht="13" x14ac:dyDescent="0.15">
      <c r="C514" s="70"/>
      <c r="D514" s="70"/>
      <c r="E514" s="70"/>
    </row>
    <row r="515" spans="3:5" ht="13" x14ac:dyDescent="0.15">
      <c r="C515" s="70"/>
      <c r="D515" s="70"/>
      <c r="E515" s="70"/>
    </row>
    <row r="516" spans="3:5" ht="13" x14ac:dyDescent="0.15">
      <c r="C516" s="70"/>
      <c r="D516" s="70"/>
      <c r="E516" s="70"/>
    </row>
    <row r="517" spans="3:5" ht="13" x14ac:dyDescent="0.15">
      <c r="C517" s="70"/>
      <c r="D517" s="70"/>
      <c r="E517" s="70"/>
    </row>
    <row r="518" spans="3:5" ht="13" x14ac:dyDescent="0.15">
      <c r="C518" s="70"/>
      <c r="D518" s="70"/>
      <c r="E518" s="70"/>
    </row>
    <row r="519" spans="3:5" ht="13" x14ac:dyDescent="0.15">
      <c r="C519" s="70"/>
      <c r="D519" s="70"/>
      <c r="E519" s="70"/>
    </row>
    <row r="520" spans="3:5" ht="13" x14ac:dyDescent="0.15">
      <c r="C520" s="70"/>
      <c r="D520" s="70"/>
      <c r="E520" s="70"/>
    </row>
    <row r="521" spans="3:5" ht="13" x14ac:dyDescent="0.15">
      <c r="C521" s="70"/>
      <c r="D521" s="70"/>
      <c r="E521" s="70"/>
    </row>
    <row r="522" spans="3:5" ht="13" x14ac:dyDescent="0.15">
      <c r="C522" s="70"/>
      <c r="D522" s="70"/>
      <c r="E522" s="70"/>
    </row>
    <row r="523" spans="3:5" ht="13" x14ac:dyDescent="0.15">
      <c r="C523" s="70"/>
      <c r="D523" s="70"/>
      <c r="E523" s="70"/>
    </row>
    <row r="524" spans="3:5" ht="13" x14ac:dyDescent="0.15">
      <c r="C524" s="70"/>
      <c r="D524" s="70"/>
      <c r="E524" s="70"/>
    </row>
    <row r="525" spans="3:5" ht="13" x14ac:dyDescent="0.15">
      <c r="C525" s="70"/>
      <c r="D525" s="70"/>
      <c r="E525" s="70"/>
    </row>
    <row r="526" spans="3:5" ht="13" x14ac:dyDescent="0.15">
      <c r="C526" s="70"/>
      <c r="D526" s="70"/>
      <c r="E526" s="70"/>
    </row>
    <row r="527" spans="3:5" ht="13" x14ac:dyDescent="0.15">
      <c r="C527" s="70"/>
      <c r="D527" s="70"/>
      <c r="E527" s="70"/>
    </row>
    <row r="528" spans="3:5" ht="13" x14ac:dyDescent="0.15">
      <c r="C528" s="70"/>
      <c r="D528" s="70"/>
      <c r="E528" s="70"/>
    </row>
    <row r="529" spans="3:5" ht="13" x14ac:dyDescent="0.15">
      <c r="C529" s="70"/>
      <c r="D529" s="70"/>
      <c r="E529" s="70"/>
    </row>
    <row r="530" spans="3:5" ht="13" x14ac:dyDescent="0.15">
      <c r="C530" s="70"/>
      <c r="D530" s="70"/>
      <c r="E530" s="70"/>
    </row>
    <row r="531" spans="3:5" ht="13" x14ac:dyDescent="0.15">
      <c r="C531" s="70"/>
      <c r="D531" s="70"/>
      <c r="E531" s="70"/>
    </row>
    <row r="532" spans="3:5" ht="13" x14ac:dyDescent="0.15">
      <c r="C532" s="70"/>
      <c r="D532" s="70"/>
      <c r="E532" s="70"/>
    </row>
    <row r="533" spans="3:5" ht="13" x14ac:dyDescent="0.15">
      <c r="C533" s="70"/>
      <c r="D533" s="70"/>
      <c r="E533" s="70"/>
    </row>
    <row r="534" spans="3:5" ht="13" x14ac:dyDescent="0.15">
      <c r="C534" s="70"/>
      <c r="D534" s="70"/>
      <c r="E534" s="70"/>
    </row>
    <row r="535" spans="3:5" ht="13" x14ac:dyDescent="0.15">
      <c r="C535" s="70"/>
      <c r="D535" s="70"/>
      <c r="E535" s="70"/>
    </row>
    <row r="536" spans="3:5" ht="13" x14ac:dyDescent="0.15">
      <c r="C536" s="70"/>
      <c r="D536" s="70"/>
      <c r="E536" s="70"/>
    </row>
    <row r="537" spans="3:5" ht="13" x14ac:dyDescent="0.15">
      <c r="C537" s="70"/>
      <c r="D537" s="70"/>
      <c r="E537" s="70"/>
    </row>
    <row r="538" spans="3:5" ht="13" x14ac:dyDescent="0.15">
      <c r="C538" s="70"/>
      <c r="D538" s="70"/>
      <c r="E538" s="70"/>
    </row>
    <row r="539" spans="3:5" ht="13" x14ac:dyDescent="0.15">
      <c r="C539" s="70"/>
      <c r="D539" s="70"/>
      <c r="E539" s="70"/>
    </row>
    <row r="540" spans="3:5" ht="13" x14ac:dyDescent="0.15">
      <c r="C540" s="70"/>
      <c r="D540" s="70"/>
      <c r="E540" s="70"/>
    </row>
    <row r="541" spans="3:5" ht="13" x14ac:dyDescent="0.15">
      <c r="C541" s="70"/>
      <c r="D541" s="70"/>
      <c r="E541" s="70"/>
    </row>
    <row r="542" spans="3:5" ht="13" x14ac:dyDescent="0.15">
      <c r="C542" s="70"/>
      <c r="D542" s="70"/>
      <c r="E542" s="70"/>
    </row>
    <row r="543" spans="3:5" ht="13" x14ac:dyDescent="0.15">
      <c r="C543" s="70"/>
      <c r="D543" s="70"/>
      <c r="E543" s="70"/>
    </row>
    <row r="544" spans="3:5" ht="13" x14ac:dyDescent="0.15">
      <c r="C544" s="70"/>
      <c r="D544" s="70"/>
      <c r="E544" s="70"/>
    </row>
    <row r="545" spans="3:5" ht="13" x14ac:dyDescent="0.15">
      <c r="C545" s="70"/>
      <c r="D545" s="70"/>
      <c r="E545" s="70"/>
    </row>
    <row r="546" spans="3:5" ht="13" x14ac:dyDescent="0.15">
      <c r="C546" s="70"/>
      <c r="D546" s="70"/>
      <c r="E546" s="70"/>
    </row>
    <row r="547" spans="3:5" ht="13" x14ac:dyDescent="0.15">
      <c r="C547" s="70"/>
      <c r="D547" s="70"/>
      <c r="E547" s="70"/>
    </row>
    <row r="548" spans="3:5" ht="13" x14ac:dyDescent="0.15">
      <c r="C548" s="70"/>
      <c r="D548" s="70"/>
      <c r="E548" s="70"/>
    </row>
    <row r="549" spans="3:5" ht="13" x14ac:dyDescent="0.15">
      <c r="C549" s="70"/>
      <c r="D549" s="70"/>
      <c r="E549" s="70"/>
    </row>
    <row r="550" spans="3:5" ht="13" x14ac:dyDescent="0.15">
      <c r="C550" s="70"/>
      <c r="D550" s="70"/>
      <c r="E550" s="70"/>
    </row>
    <row r="551" spans="3:5" ht="13" x14ac:dyDescent="0.15">
      <c r="C551" s="70"/>
      <c r="D551" s="70"/>
      <c r="E551" s="70"/>
    </row>
    <row r="552" spans="3:5" ht="13" x14ac:dyDescent="0.15">
      <c r="C552" s="70"/>
      <c r="D552" s="70"/>
      <c r="E552" s="70"/>
    </row>
    <row r="553" spans="3:5" ht="13" x14ac:dyDescent="0.15">
      <c r="C553" s="70"/>
      <c r="D553" s="70"/>
      <c r="E553" s="70"/>
    </row>
    <row r="554" spans="3:5" ht="13" x14ac:dyDescent="0.15">
      <c r="C554" s="70"/>
      <c r="D554" s="70"/>
      <c r="E554" s="70"/>
    </row>
    <row r="555" spans="3:5" ht="13" x14ac:dyDescent="0.15">
      <c r="C555" s="70"/>
      <c r="D555" s="70"/>
      <c r="E555" s="70"/>
    </row>
    <row r="556" spans="3:5" ht="13" x14ac:dyDescent="0.15">
      <c r="C556" s="70"/>
      <c r="D556" s="70"/>
      <c r="E556" s="70"/>
    </row>
    <row r="557" spans="3:5" ht="13" x14ac:dyDescent="0.15">
      <c r="C557" s="70"/>
      <c r="D557" s="70"/>
      <c r="E557" s="70"/>
    </row>
    <row r="558" spans="3:5" ht="13" x14ac:dyDescent="0.15">
      <c r="C558" s="70"/>
      <c r="D558" s="70"/>
      <c r="E558" s="70"/>
    </row>
    <row r="559" spans="3:5" ht="13" x14ac:dyDescent="0.15">
      <c r="C559" s="70"/>
      <c r="D559" s="70"/>
      <c r="E559" s="70"/>
    </row>
    <row r="560" spans="3:5" ht="13" x14ac:dyDescent="0.15">
      <c r="C560" s="70"/>
      <c r="D560" s="70"/>
      <c r="E560" s="70"/>
    </row>
    <row r="561" spans="3:5" ht="13" x14ac:dyDescent="0.15">
      <c r="C561" s="70"/>
      <c r="D561" s="70"/>
      <c r="E561" s="70"/>
    </row>
    <row r="562" spans="3:5" ht="13" x14ac:dyDescent="0.15">
      <c r="C562" s="70"/>
      <c r="D562" s="70"/>
      <c r="E562" s="70"/>
    </row>
    <row r="563" spans="3:5" ht="13" x14ac:dyDescent="0.15">
      <c r="C563" s="70"/>
      <c r="D563" s="70"/>
      <c r="E563" s="70"/>
    </row>
    <row r="564" spans="3:5" ht="13" x14ac:dyDescent="0.15">
      <c r="C564" s="70"/>
      <c r="D564" s="70"/>
      <c r="E564" s="70"/>
    </row>
    <row r="565" spans="3:5" ht="13" x14ac:dyDescent="0.15">
      <c r="C565" s="70"/>
      <c r="D565" s="70"/>
      <c r="E565" s="70"/>
    </row>
    <row r="566" spans="3:5" ht="13" x14ac:dyDescent="0.15">
      <c r="C566" s="70"/>
      <c r="D566" s="70"/>
      <c r="E566" s="70"/>
    </row>
    <row r="567" spans="3:5" ht="13" x14ac:dyDescent="0.15">
      <c r="C567" s="70"/>
      <c r="D567" s="70"/>
      <c r="E567" s="70"/>
    </row>
    <row r="568" spans="3:5" ht="13" x14ac:dyDescent="0.15">
      <c r="C568" s="70"/>
      <c r="D568" s="70"/>
      <c r="E568" s="70"/>
    </row>
    <row r="569" spans="3:5" ht="13" x14ac:dyDescent="0.15">
      <c r="C569" s="70"/>
      <c r="D569" s="70"/>
      <c r="E569" s="70"/>
    </row>
    <row r="570" spans="3:5" ht="13" x14ac:dyDescent="0.15">
      <c r="C570" s="70"/>
      <c r="D570" s="70"/>
      <c r="E570" s="70"/>
    </row>
    <row r="571" spans="3:5" ht="13" x14ac:dyDescent="0.15">
      <c r="C571" s="70"/>
      <c r="D571" s="70"/>
      <c r="E571" s="70"/>
    </row>
    <row r="572" spans="3:5" ht="13" x14ac:dyDescent="0.15">
      <c r="C572" s="70"/>
      <c r="D572" s="70"/>
      <c r="E572" s="70"/>
    </row>
    <row r="573" spans="3:5" ht="13" x14ac:dyDescent="0.15">
      <c r="C573" s="70"/>
      <c r="D573" s="70"/>
      <c r="E573" s="70"/>
    </row>
    <row r="574" spans="3:5" ht="13" x14ac:dyDescent="0.15">
      <c r="C574" s="70"/>
      <c r="D574" s="70"/>
      <c r="E574" s="70"/>
    </row>
    <row r="575" spans="3:5" ht="13" x14ac:dyDescent="0.15">
      <c r="C575" s="70"/>
      <c r="D575" s="70"/>
      <c r="E575" s="70"/>
    </row>
    <row r="576" spans="3:5" ht="13" x14ac:dyDescent="0.15">
      <c r="C576" s="70"/>
      <c r="D576" s="70"/>
      <c r="E576" s="70"/>
    </row>
    <row r="577" spans="3:5" ht="13" x14ac:dyDescent="0.15">
      <c r="C577" s="70"/>
      <c r="D577" s="70"/>
      <c r="E577" s="70"/>
    </row>
    <row r="578" spans="3:5" ht="13" x14ac:dyDescent="0.15">
      <c r="C578" s="70"/>
      <c r="D578" s="70"/>
      <c r="E578" s="70"/>
    </row>
    <row r="579" spans="3:5" ht="13" x14ac:dyDescent="0.15">
      <c r="C579" s="70"/>
      <c r="D579" s="70"/>
      <c r="E579" s="70"/>
    </row>
    <row r="580" spans="3:5" ht="13" x14ac:dyDescent="0.15">
      <c r="C580" s="70"/>
      <c r="D580" s="70"/>
      <c r="E580" s="70"/>
    </row>
    <row r="581" spans="3:5" ht="13" x14ac:dyDescent="0.15">
      <c r="C581" s="70"/>
      <c r="D581" s="70"/>
      <c r="E581" s="70"/>
    </row>
    <row r="582" spans="3:5" ht="13" x14ac:dyDescent="0.15">
      <c r="C582" s="70"/>
      <c r="D582" s="70"/>
      <c r="E582" s="70"/>
    </row>
    <row r="583" spans="3:5" ht="13" x14ac:dyDescent="0.15">
      <c r="C583" s="70"/>
      <c r="D583" s="70"/>
      <c r="E583" s="70"/>
    </row>
    <row r="584" spans="3:5" ht="13" x14ac:dyDescent="0.15">
      <c r="C584" s="70"/>
      <c r="D584" s="70"/>
      <c r="E584" s="70"/>
    </row>
    <row r="585" spans="3:5" ht="13" x14ac:dyDescent="0.15">
      <c r="C585" s="70"/>
      <c r="D585" s="70"/>
      <c r="E585" s="70"/>
    </row>
    <row r="586" spans="3:5" ht="13" x14ac:dyDescent="0.15">
      <c r="C586" s="70"/>
      <c r="D586" s="70"/>
      <c r="E586" s="70"/>
    </row>
    <row r="587" spans="3:5" ht="13" x14ac:dyDescent="0.15">
      <c r="C587" s="70"/>
      <c r="D587" s="70"/>
      <c r="E587" s="70"/>
    </row>
    <row r="588" spans="3:5" ht="13" x14ac:dyDescent="0.15">
      <c r="C588" s="70"/>
      <c r="D588" s="70"/>
      <c r="E588" s="70"/>
    </row>
    <row r="589" spans="3:5" ht="13" x14ac:dyDescent="0.15">
      <c r="C589" s="70"/>
      <c r="D589" s="70"/>
      <c r="E589" s="70"/>
    </row>
    <row r="590" spans="3:5" ht="13" x14ac:dyDescent="0.15">
      <c r="C590" s="70"/>
      <c r="D590" s="70"/>
      <c r="E590" s="70"/>
    </row>
    <row r="591" spans="3:5" ht="13" x14ac:dyDescent="0.15">
      <c r="C591" s="70"/>
      <c r="D591" s="70"/>
      <c r="E591" s="70"/>
    </row>
    <row r="592" spans="3:5" ht="13" x14ac:dyDescent="0.15">
      <c r="C592" s="70"/>
      <c r="D592" s="70"/>
      <c r="E592" s="70"/>
    </row>
    <row r="593" spans="3:5" ht="13" x14ac:dyDescent="0.15">
      <c r="C593" s="70"/>
      <c r="D593" s="70"/>
      <c r="E593" s="70"/>
    </row>
    <row r="594" spans="3:5" ht="13" x14ac:dyDescent="0.15">
      <c r="C594" s="70"/>
      <c r="D594" s="70"/>
      <c r="E594" s="70"/>
    </row>
    <row r="595" spans="3:5" ht="13" x14ac:dyDescent="0.15">
      <c r="C595" s="70"/>
      <c r="D595" s="70"/>
      <c r="E595" s="70"/>
    </row>
    <row r="596" spans="3:5" ht="13" x14ac:dyDescent="0.15">
      <c r="C596" s="70"/>
      <c r="D596" s="70"/>
      <c r="E596" s="70"/>
    </row>
    <row r="597" spans="3:5" ht="13" x14ac:dyDescent="0.15">
      <c r="C597" s="70"/>
      <c r="D597" s="70"/>
      <c r="E597" s="70"/>
    </row>
    <row r="598" spans="3:5" ht="13" x14ac:dyDescent="0.15">
      <c r="C598" s="70"/>
      <c r="D598" s="70"/>
      <c r="E598" s="70"/>
    </row>
    <row r="599" spans="3:5" ht="13" x14ac:dyDescent="0.15">
      <c r="C599" s="70"/>
      <c r="D599" s="70"/>
      <c r="E599" s="70"/>
    </row>
    <row r="600" spans="3:5" ht="13" x14ac:dyDescent="0.15">
      <c r="C600" s="70"/>
      <c r="D600" s="70"/>
      <c r="E600" s="70"/>
    </row>
    <row r="601" spans="3:5" ht="13" x14ac:dyDescent="0.15">
      <c r="C601" s="70"/>
      <c r="D601" s="70"/>
      <c r="E601" s="70"/>
    </row>
    <row r="602" spans="3:5" ht="13" x14ac:dyDescent="0.15">
      <c r="C602" s="70"/>
      <c r="D602" s="70"/>
      <c r="E602" s="70"/>
    </row>
    <row r="603" spans="3:5" ht="13" x14ac:dyDescent="0.15">
      <c r="C603" s="70"/>
      <c r="D603" s="70"/>
      <c r="E603" s="70"/>
    </row>
    <row r="604" spans="3:5" ht="13" x14ac:dyDescent="0.15">
      <c r="C604" s="70"/>
      <c r="D604" s="70"/>
      <c r="E604" s="70"/>
    </row>
    <row r="605" spans="3:5" ht="13" x14ac:dyDescent="0.15">
      <c r="C605" s="70"/>
      <c r="D605" s="70"/>
      <c r="E605" s="70"/>
    </row>
    <row r="606" spans="3:5" ht="13" x14ac:dyDescent="0.15">
      <c r="C606" s="70"/>
      <c r="D606" s="70"/>
      <c r="E606" s="70"/>
    </row>
    <row r="607" spans="3:5" ht="13" x14ac:dyDescent="0.15">
      <c r="C607" s="70"/>
      <c r="D607" s="70"/>
      <c r="E607" s="70"/>
    </row>
    <row r="608" spans="3:5" ht="13" x14ac:dyDescent="0.15">
      <c r="C608" s="70"/>
      <c r="D608" s="70"/>
      <c r="E608" s="70"/>
    </row>
    <row r="609" spans="3:5" ht="13" x14ac:dyDescent="0.15">
      <c r="C609" s="70"/>
      <c r="D609" s="70"/>
      <c r="E609" s="70"/>
    </row>
    <row r="610" spans="3:5" ht="13" x14ac:dyDescent="0.15">
      <c r="C610" s="70"/>
      <c r="D610" s="70"/>
      <c r="E610" s="70"/>
    </row>
    <row r="611" spans="3:5" ht="13" x14ac:dyDescent="0.15">
      <c r="C611" s="70"/>
      <c r="D611" s="70"/>
      <c r="E611" s="70"/>
    </row>
    <row r="612" spans="3:5" ht="13" x14ac:dyDescent="0.15">
      <c r="C612" s="70"/>
      <c r="D612" s="70"/>
      <c r="E612" s="70"/>
    </row>
    <row r="613" spans="3:5" ht="13" x14ac:dyDescent="0.15">
      <c r="C613" s="70"/>
      <c r="D613" s="70"/>
      <c r="E613" s="70"/>
    </row>
    <row r="614" spans="3:5" ht="13" x14ac:dyDescent="0.15">
      <c r="C614" s="70"/>
      <c r="D614" s="70"/>
      <c r="E614" s="70"/>
    </row>
    <row r="615" spans="3:5" ht="13" x14ac:dyDescent="0.15">
      <c r="C615" s="70"/>
      <c r="D615" s="70"/>
      <c r="E615" s="70"/>
    </row>
    <row r="616" spans="3:5" ht="13" x14ac:dyDescent="0.15">
      <c r="C616" s="70"/>
      <c r="D616" s="70"/>
      <c r="E616" s="70"/>
    </row>
    <row r="617" spans="3:5" ht="13" x14ac:dyDescent="0.15">
      <c r="C617" s="70"/>
      <c r="D617" s="70"/>
      <c r="E617" s="70"/>
    </row>
    <row r="618" spans="3:5" ht="13" x14ac:dyDescent="0.15">
      <c r="C618" s="70"/>
      <c r="D618" s="70"/>
      <c r="E618" s="70"/>
    </row>
    <row r="619" spans="3:5" ht="13" x14ac:dyDescent="0.15">
      <c r="C619" s="70"/>
      <c r="D619" s="70"/>
      <c r="E619" s="70"/>
    </row>
    <row r="620" spans="3:5" ht="13" x14ac:dyDescent="0.15">
      <c r="C620" s="70"/>
      <c r="D620" s="70"/>
      <c r="E620" s="70"/>
    </row>
    <row r="621" spans="3:5" ht="13" x14ac:dyDescent="0.15">
      <c r="C621" s="70"/>
      <c r="D621" s="70"/>
      <c r="E621" s="70"/>
    </row>
    <row r="622" spans="3:5" ht="13" x14ac:dyDescent="0.15">
      <c r="C622" s="70"/>
      <c r="D622" s="70"/>
      <c r="E622" s="70"/>
    </row>
    <row r="623" spans="3:5" ht="13" x14ac:dyDescent="0.15">
      <c r="C623" s="70"/>
      <c r="D623" s="70"/>
      <c r="E623" s="70"/>
    </row>
    <row r="624" spans="3:5" ht="13" x14ac:dyDescent="0.15">
      <c r="C624" s="70"/>
      <c r="D624" s="70"/>
      <c r="E624" s="70"/>
    </row>
    <row r="625" spans="3:5" ht="13" x14ac:dyDescent="0.15">
      <c r="C625" s="70"/>
      <c r="D625" s="70"/>
      <c r="E625" s="70"/>
    </row>
    <row r="626" spans="3:5" ht="13" x14ac:dyDescent="0.15">
      <c r="C626" s="70"/>
      <c r="D626" s="70"/>
      <c r="E626" s="70"/>
    </row>
    <row r="627" spans="3:5" ht="13" x14ac:dyDescent="0.15">
      <c r="C627" s="70"/>
      <c r="D627" s="70"/>
      <c r="E627" s="70"/>
    </row>
    <row r="628" spans="3:5" ht="13" x14ac:dyDescent="0.15">
      <c r="C628" s="70"/>
      <c r="D628" s="70"/>
      <c r="E628" s="70"/>
    </row>
    <row r="629" spans="3:5" ht="13" x14ac:dyDescent="0.15">
      <c r="C629" s="70"/>
      <c r="D629" s="70"/>
      <c r="E629" s="70"/>
    </row>
    <row r="630" spans="3:5" ht="13" x14ac:dyDescent="0.15">
      <c r="C630" s="70"/>
      <c r="D630" s="70"/>
      <c r="E630" s="70"/>
    </row>
    <row r="631" spans="3:5" ht="13" x14ac:dyDescent="0.15">
      <c r="C631" s="70"/>
      <c r="D631" s="70"/>
      <c r="E631" s="70"/>
    </row>
    <row r="632" spans="3:5" ht="13" x14ac:dyDescent="0.15">
      <c r="C632" s="70"/>
      <c r="D632" s="70"/>
      <c r="E632" s="70"/>
    </row>
    <row r="633" spans="3:5" ht="13" x14ac:dyDescent="0.15">
      <c r="C633" s="70"/>
      <c r="D633" s="70"/>
      <c r="E633" s="70"/>
    </row>
    <row r="634" spans="3:5" ht="13" x14ac:dyDescent="0.15">
      <c r="C634" s="70"/>
      <c r="D634" s="70"/>
      <c r="E634" s="70"/>
    </row>
    <row r="635" spans="3:5" ht="13" x14ac:dyDescent="0.15">
      <c r="C635" s="70"/>
      <c r="D635" s="70"/>
      <c r="E635" s="70"/>
    </row>
    <row r="636" spans="3:5" ht="13" x14ac:dyDescent="0.15">
      <c r="C636" s="70"/>
      <c r="D636" s="70"/>
      <c r="E636" s="70"/>
    </row>
    <row r="637" spans="3:5" ht="13" x14ac:dyDescent="0.15">
      <c r="C637" s="70"/>
      <c r="D637" s="70"/>
      <c r="E637" s="70"/>
    </row>
    <row r="638" spans="3:5" ht="13" x14ac:dyDescent="0.15">
      <c r="C638" s="70"/>
      <c r="D638" s="70"/>
      <c r="E638" s="70"/>
    </row>
    <row r="639" spans="3:5" ht="13" x14ac:dyDescent="0.15">
      <c r="C639" s="70"/>
      <c r="D639" s="70"/>
      <c r="E639" s="70"/>
    </row>
    <row r="640" spans="3:5" ht="13" x14ac:dyDescent="0.15">
      <c r="C640" s="70"/>
      <c r="D640" s="70"/>
      <c r="E640" s="70"/>
    </row>
    <row r="641" spans="3:5" ht="13" x14ac:dyDescent="0.15">
      <c r="C641" s="70"/>
      <c r="D641" s="70"/>
      <c r="E641" s="70"/>
    </row>
    <row r="642" spans="3:5" ht="13" x14ac:dyDescent="0.15">
      <c r="C642" s="70"/>
      <c r="D642" s="70"/>
      <c r="E642" s="70"/>
    </row>
    <row r="643" spans="3:5" ht="13" x14ac:dyDescent="0.15">
      <c r="C643" s="70"/>
      <c r="D643" s="70"/>
      <c r="E643" s="70"/>
    </row>
    <row r="644" spans="3:5" ht="13" x14ac:dyDescent="0.15">
      <c r="C644" s="70"/>
      <c r="D644" s="70"/>
      <c r="E644" s="70"/>
    </row>
    <row r="645" spans="3:5" ht="13" x14ac:dyDescent="0.15">
      <c r="C645" s="70"/>
      <c r="D645" s="70"/>
      <c r="E645" s="70"/>
    </row>
    <row r="646" spans="3:5" ht="13" x14ac:dyDescent="0.15">
      <c r="C646" s="70"/>
      <c r="D646" s="70"/>
      <c r="E646" s="70"/>
    </row>
    <row r="647" spans="3:5" ht="13" x14ac:dyDescent="0.15">
      <c r="C647" s="70"/>
      <c r="D647" s="70"/>
      <c r="E647" s="70"/>
    </row>
    <row r="648" spans="3:5" ht="13" x14ac:dyDescent="0.15">
      <c r="C648" s="70"/>
      <c r="D648" s="70"/>
      <c r="E648" s="70"/>
    </row>
    <row r="649" spans="3:5" ht="13" x14ac:dyDescent="0.15">
      <c r="C649" s="70"/>
      <c r="D649" s="70"/>
      <c r="E649" s="70"/>
    </row>
    <row r="650" spans="3:5" ht="13" x14ac:dyDescent="0.15">
      <c r="C650" s="70"/>
      <c r="D650" s="70"/>
      <c r="E650" s="70"/>
    </row>
    <row r="651" spans="3:5" ht="13" x14ac:dyDescent="0.15">
      <c r="C651" s="70"/>
      <c r="D651" s="70"/>
      <c r="E651" s="70"/>
    </row>
    <row r="652" spans="3:5" ht="13" x14ac:dyDescent="0.15">
      <c r="C652" s="70"/>
      <c r="D652" s="70"/>
      <c r="E652" s="70"/>
    </row>
    <row r="653" spans="3:5" ht="13" x14ac:dyDescent="0.15">
      <c r="C653" s="70"/>
      <c r="D653" s="70"/>
      <c r="E653" s="70"/>
    </row>
    <row r="654" spans="3:5" ht="13" x14ac:dyDescent="0.15">
      <c r="C654" s="70"/>
      <c r="D654" s="70"/>
      <c r="E654" s="70"/>
    </row>
    <row r="655" spans="3:5" ht="13" x14ac:dyDescent="0.15">
      <c r="C655" s="70"/>
      <c r="D655" s="70"/>
      <c r="E655" s="70"/>
    </row>
    <row r="656" spans="3:5" ht="13" x14ac:dyDescent="0.15">
      <c r="C656" s="70"/>
      <c r="D656" s="70"/>
      <c r="E656" s="70"/>
    </row>
    <row r="657" spans="3:5" ht="13" x14ac:dyDescent="0.15">
      <c r="C657" s="70"/>
      <c r="D657" s="70"/>
      <c r="E657" s="70"/>
    </row>
    <row r="658" spans="3:5" ht="13" x14ac:dyDescent="0.15">
      <c r="C658" s="70"/>
      <c r="D658" s="70"/>
      <c r="E658" s="70"/>
    </row>
    <row r="659" spans="3:5" ht="13" x14ac:dyDescent="0.15">
      <c r="C659" s="70"/>
      <c r="D659" s="70"/>
      <c r="E659" s="70"/>
    </row>
    <row r="660" spans="3:5" ht="13" x14ac:dyDescent="0.15">
      <c r="C660" s="70"/>
      <c r="D660" s="70"/>
      <c r="E660" s="70"/>
    </row>
    <row r="661" spans="3:5" ht="13" x14ac:dyDescent="0.15">
      <c r="C661" s="70"/>
      <c r="D661" s="70"/>
      <c r="E661" s="70"/>
    </row>
    <row r="662" spans="3:5" ht="13" x14ac:dyDescent="0.15">
      <c r="C662" s="70"/>
      <c r="D662" s="70"/>
      <c r="E662" s="70"/>
    </row>
    <row r="663" spans="3:5" ht="13" x14ac:dyDescent="0.15">
      <c r="C663" s="70"/>
      <c r="D663" s="70"/>
      <c r="E663" s="70"/>
    </row>
    <row r="664" spans="3:5" ht="13" x14ac:dyDescent="0.15">
      <c r="C664" s="70"/>
      <c r="D664" s="70"/>
      <c r="E664" s="70"/>
    </row>
    <row r="665" spans="3:5" ht="13" x14ac:dyDescent="0.15">
      <c r="C665" s="70"/>
      <c r="D665" s="70"/>
      <c r="E665" s="70"/>
    </row>
    <row r="666" spans="3:5" ht="13" x14ac:dyDescent="0.15">
      <c r="C666" s="70"/>
      <c r="D666" s="70"/>
      <c r="E666" s="70"/>
    </row>
    <row r="667" spans="3:5" ht="13" x14ac:dyDescent="0.15">
      <c r="C667" s="70"/>
      <c r="D667" s="70"/>
      <c r="E667" s="70"/>
    </row>
    <row r="668" spans="3:5" ht="13" x14ac:dyDescent="0.15">
      <c r="C668" s="70"/>
      <c r="D668" s="70"/>
      <c r="E668" s="70"/>
    </row>
    <row r="669" spans="3:5" ht="13" x14ac:dyDescent="0.15">
      <c r="C669" s="70"/>
      <c r="D669" s="70"/>
      <c r="E669" s="70"/>
    </row>
    <row r="670" spans="3:5" ht="13" x14ac:dyDescent="0.15">
      <c r="C670" s="70"/>
      <c r="D670" s="70"/>
      <c r="E670" s="70"/>
    </row>
    <row r="671" spans="3:5" ht="13" x14ac:dyDescent="0.15">
      <c r="C671" s="70"/>
      <c r="D671" s="70"/>
      <c r="E671" s="70"/>
    </row>
    <row r="672" spans="3:5" ht="13" x14ac:dyDescent="0.15">
      <c r="C672" s="70"/>
      <c r="D672" s="70"/>
      <c r="E672" s="70"/>
    </row>
    <row r="673" spans="3:5" ht="13" x14ac:dyDescent="0.15">
      <c r="C673" s="70"/>
      <c r="D673" s="70"/>
      <c r="E673" s="70"/>
    </row>
    <row r="674" spans="3:5" ht="13" x14ac:dyDescent="0.15">
      <c r="C674" s="70"/>
      <c r="D674" s="70"/>
      <c r="E674" s="70"/>
    </row>
    <row r="675" spans="3:5" ht="13" x14ac:dyDescent="0.15">
      <c r="C675" s="70"/>
      <c r="D675" s="70"/>
      <c r="E675" s="70"/>
    </row>
    <row r="676" spans="3:5" ht="13" x14ac:dyDescent="0.15">
      <c r="C676" s="70"/>
      <c r="D676" s="70"/>
      <c r="E676" s="70"/>
    </row>
    <row r="677" spans="3:5" ht="13" x14ac:dyDescent="0.15">
      <c r="C677" s="70"/>
      <c r="D677" s="70"/>
      <c r="E677" s="70"/>
    </row>
    <row r="678" spans="3:5" ht="13" x14ac:dyDescent="0.15">
      <c r="C678" s="70"/>
      <c r="D678" s="70"/>
      <c r="E678" s="70"/>
    </row>
    <row r="679" spans="3:5" ht="13" x14ac:dyDescent="0.15">
      <c r="C679" s="70"/>
      <c r="D679" s="70"/>
      <c r="E679" s="70"/>
    </row>
    <row r="680" spans="3:5" ht="13" x14ac:dyDescent="0.15">
      <c r="C680" s="70"/>
      <c r="D680" s="70"/>
      <c r="E680" s="70"/>
    </row>
    <row r="681" spans="3:5" ht="13" x14ac:dyDescent="0.15">
      <c r="C681" s="70"/>
      <c r="D681" s="70"/>
      <c r="E681" s="70"/>
    </row>
    <row r="682" spans="3:5" ht="13" x14ac:dyDescent="0.15">
      <c r="C682" s="70"/>
      <c r="D682" s="70"/>
      <c r="E682" s="70"/>
    </row>
    <row r="683" spans="3:5" ht="13" x14ac:dyDescent="0.15">
      <c r="C683" s="70"/>
      <c r="D683" s="70"/>
      <c r="E683" s="70"/>
    </row>
    <row r="684" spans="3:5" ht="13" x14ac:dyDescent="0.15">
      <c r="C684" s="70"/>
      <c r="D684" s="70"/>
      <c r="E684" s="70"/>
    </row>
    <row r="685" spans="3:5" ht="13" x14ac:dyDescent="0.15">
      <c r="C685" s="70"/>
      <c r="D685" s="70"/>
      <c r="E685" s="70"/>
    </row>
    <row r="686" spans="3:5" ht="13" x14ac:dyDescent="0.15">
      <c r="C686" s="70"/>
      <c r="D686" s="70"/>
      <c r="E686" s="70"/>
    </row>
    <row r="687" spans="3:5" ht="13" x14ac:dyDescent="0.15">
      <c r="C687" s="70"/>
      <c r="D687" s="70"/>
      <c r="E687" s="70"/>
    </row>
    <row r="688" spans="3:5" ht="13" x14ac:dyDescent="0.15">
      <c r="C688" s="70"/>
      <c r="D688" s="70"/>
      <c r="E688" s="70"/>
    </row>
    <row r="689" spans="3:5" ht="13" x14ac:dyDescent="0.15">
      <c r="C689" s="70"/>
      <c r="D689" s="70"/>
      <c r="E689" s="70"/>
    </row>
    <row r="690" spans="3:5" ht="13" x14ac:dyDescent="0.15">
      <c r="C690" s="70"/>
      <c r="D690" s="70"/>
      <c r="E690" s="70"/>
    </row>
    <row r="691" spans="3:5" ht="13" x14ac:dyDescent="0.15">
      <c r="C691" s="70"/>
      <c r="D691" s="70"/>
      <c r="E691" s="70"/>
    </row>
    <row r="692" spans="3:5" ht="13" x14ac:dyDescent="0.15">
      <c r="C692" s="70"/>
      <c r="D692" s="70"/>
      <c r="E692" s="70"/>
    </row>
    <row r="693" spans="3:5" ht="13" x14ac:dyDescent="0.15">
      <c r="C693" s="70"/>
      <c r="D693" s="70"/>
      <c r="E693" s="70"/>
    </row>
    <row r="694" spans="3:5" ht="13" x14ac:dyDescent="0.15">
      <c r="C694" s="70"/>
      <c r="D694" s="70"/>
      <c r="E694" s="70"/>
    </row>
    <row r="695" spans="3:5" ht="13" x14ac:dyDescent="0.15">
      <c r="C695" s="70"/>
      <c r="D695" s="70"/>
      <c r="E695" s="70"/>
    </row>
    <row r="696" spans="3:5" ht="13" x14ac:dyDescent="0.15">
      <c r="C696" s="70"/>
      <c r="D696" s="70"/>
      <c r="E696" s="70"/>
    </row>
    <row r="697" spans="3:5" ht="13" x14ac:dyDescent="0.15">
      <c r="C697" s="70"/>
      <c r="D697" s="70"/>
      <c r="E697" s="70"/>
    </row>
    <row r="698" spans="3:5" ht="13" x14ac:dyDescent="0.15">
      <c r="C698" s="70"/>
      <c r="D698" s="70"/>
      <c r="E698" s="70"/>
    </row>
    <row r="699" spans="3:5" ht="13" x14ac:dyDescent="0.15">
      <c r="C699" s="70"/>
      <c r="D699" s="70"/>
      <c r="E699" s="70"/>
    </row>
    <row r="700" spans="3:5" ht="13" x14ac:dyDescent="0.15">
      <c r="C700" s="70"/>
      <c r="D700" s="70"/>
      <c r="E700" s="70"/>
    </row>
    <row r="701" spans="3:5" ht="13" x14ac:dyDescent="0.15">
      <c r="C701" s="70"/>
      <c r="D701" s="70"/>
      <c r="E701" s="70"/>
    </row>
    <row r="702" spans="3:5" ht="13" x14ac:dyDescent="0.15">
      <c r="C702" s="70"/>
      <c r="D702" s="70"/>
      <c r="E702" s="70"/>
    </row>
    <row r="703" spans="3:5" ht="13" x14ac:dyDescent="0.15">
      <c r="C703" s="70"/>
      <c r="D703" s="70"/>
      <c r="E703" s="70"/>
    </row>
    <row r="704" spans="3:5" ht="13" x14ac:dyDescent="0.15">
      <c r="C704" s="70"/>
      <c r="D704" s="70"/>
      <c r="E704" s="70"/>
    </row>
    <row r="705" spans="3:5" ht="13" x14ac:dyDescent="0.15">
      <c r="C705" s="70"/>
      <c r="D705" s="70"/>
      <c r="E705" s="70"/>
    </row>
    <row r="706" spans="3:5" ht="13" x14ac:dyDescent="0.15">
      <c r="C706" s="70"/>
      <c r="D706" s="70"/>
      <c r="E706" s="70"/>
    </row>
    <row r="707" spans="3:5" ht="13" x14ac:dyDescent="0.15">
      <c r="C707" s="70"/>
      <c r="D707" s="70"/>
      <c r="E707" s="70"/>
    </row>
    <row r="708" spans="3:5" ht="13" x14ac:dyDescent="0.15">
      <c r="C708" s="70"/>
      <c r="D708" s="70"/>
      <c r="E708" s="70"/>
    </row>
    <row r="709" spans="3:5" ht="13" x14ac:dyDescent="0.15">
      <c r="C709" s="70"/>
      <c r="D709" s="70"/>
      <c r="E709" s="70"/>
    </row>
    <row r="710" spans="3:5" ht="13" x14ac:dyDescent="0.15">
      <c r="C710" s="70"/>
      <c r="D710" s="70"/>
      <c r="E710" s="70"/>
    </row>
    <row r="711" spans="3:5" ht="13" x14ac:dyDescent="0.15">
      <c r="C711" s="70"/>
      <c r="D711" s="70"/>
      <c r="E711" s="70"/>
    </row>
    <row r="712" spans="3:5" ht="13" x14ac:dyDescent="0.15">
      <c r="C712" s="70"/>
      <c r="D712" s="70"/>
      <c r="E712" s="70"/>
    </row>
    <row r="713" spans="3:5" ht="13" x14ac:dyDescent="0.15">
      <c r="C713" s="70"/>
      <c r="D713" s="70"/>
      <c r="E713" s="70"/>
    </row>
    <row r="714" spans="3:5" ht="13" x14ac:dyDescent="0.15">
      <c r="C714" s="70"/>
      <c r="D714" s="70"/>
      <c r="E714" s="70"/>
    </row>
    <row r="715" spans="3:5" ht="13" x14ac:dyDescent="0.15">
      <c r="C715" s="70"/>
      <c r="D715" s="70"/>
      <c r="E715" s="70"/>
    </row>
    <row r="716" spans="3:5" ht="13" x14ac:dyDescent="0.15">
      <c r="C716" s="70"/>
      <c r="D716" s="70"/>
      <c r="E716" s="70"/>
    </row>
    <row r="717" spans="3:5" ht="13" x14ac:dyDescent="0.15">
      <c r="C717" s="70"/>
      <c r="D717" s="70"/>
      <c r="E717" s="70"/>
    </row>
    <row r="718" spans="3:5" ht="13" x14ac:dyDescent="0.15">
      <c r="C718" s="70"/>
      <c r="D718" s="70"/>
      <c r="E718" s="70"/>
    </row>
    <row r="719" spans="3:5" ht="13" x14ac:dyDescent="0.15">
      <c r="C719" s="70"/>
      <c r="D719" s="70"/>
      <c r="E719" s="70"/>
    </row>
    <row r="720" spans="3:5" ht="13" x14ac:dyDescent="0.15">
      <c r="C720" s="70"/>
      <c r="D720" s="70"/>
      <c r="E720" s="70"/>
    </row>
    <row r="721" spans="3:5" ht="13" x14ac:dyDescent="0.15">
      <c r="C721" s="70"/>
      <c r="D721" s="70"/>
      <c r="E721" s="70"/>
    </row>
    <row r="722" spans="3:5" ht="13" x14ac:dyDescent="0.15">
      <c r="C722" s="70"/>
      <c r="D722" s="70"/>
      <c r="E722" s="70"/>
    </row>
    <row r="723" spans="3:5" ht="13" x14ac:dyDescent="0.15">
      <c r="C723" s="70"/>
      <c r="D723" s="70"/>
      <c r="E723" s="70"/>
    </row>
    <row r="724" spans="3:5" ht="13" x14ac:dyDescent="0.15">
      <c r="C724" s="70"/>
      <c r="D724" s="70"/>
      <c r="E724" s="70"/>
    </row>
    <row r="725" spans="3:5" ht="13" x14ac:dyDescent="0.15">
      <c r="C725" s="70"/>
      <c r="D725" s="70"/>
      <c r="E725" s="70"/>
    </row>
    <row r="726" spans="3:5" ht="13" x14ac:dyDescent="0.15">
      <c r="C726" s="70"/>
      <c r="D726" s="70"/>
      <c r="E726" s="70"/>
    </row>
    <row r="727" spans="3:5" ht="13" x14ac:dyDescent="0.15">
      <c r="C727" s="70"/>
      <c r="D727" s="70"/>
      <c r="E727" s="70"/>
    </row>
    <row r="728" spans="3:5" ht="13" x14ac:dyDescent="0.15">
      <c r="C728" s="70"/>
      <c r="D728" s="70"/>
      <c r="E728" s="70"/>
    </row>
    <row r="729" spans="3:5" ht="13" x14ac:dyDescent="0.15">
      <c r="C729" s="70"/>
      <c r="D729" s="70"/>
      <c r="E729" s="70"/>
    </row>
    <row r="730" spans="3:5" ht="13" x14ac:dyDescent="0.15">
      <c r="C730" s="70"/>
      <c r="D730" s="70"/>
      <c r="E730" s="70"/>
    </row>
    <row r="731" spans="3:5" ht="13" x14ac:dyDescent="0.15">
      <c r="C731" s="70"/>
      <c r="D731" s="70"/>
      <c r="E731" s="70"/>
    </row>
    <row r="732" spans="3:5" ht="13" x14ac:dyDescent="0.15">
      <c r="C732" s="70"/>
      <c r="D732" s="70"/>
      <c r="E732" s="70"/>
    </row>
    <row r="733" spans="3:5" ht="13" x14ac:dyDescent="0.15">
      <c r="C733" s="70"/>
      <c r="D733" s="70"/>
      <c r="E733" s="70"/>
    </row>
    <row r="734" spans="3:5" ht="13" x14ac:dyDescent="0.15">
      <c r="C734" s="70"/>
      <c r="D734" s="70"/>
      <c r="E734" s="70"/>
    </row>
    <row r="735" spans="3:5" ht="13" x14ac:dyDescent="0.15">
      <c r="C735" s="70"/>
      <c r="D735" s="70"/>
      <c r="E735" s="70"/>
    </row>
    <row r="736" spans="3:5" ht="13" x14ac:dyDescent="0.15">
      <c r="C736" s="70"/>
      <c r="D736" s="70"/>
      <c r="E736" s="70"/>
    </row>
    <row r="737" spans="3:5" ht="13" x14ac:dyDescent="0.15">
      <c r="C737" s="70"/>
      <c r="D737" s="70"/>
      <c r="E737" s="70"/>
    </row>
    <row r="738" spans="3:5" ht="13" x14ac:dyDescent="0.15">
      <c r="C738" s="70"/>
      <c r="D738" s="70"/>
      <c r="E738" s="70"/>
    </row>
    <row r="739" spans="3:5" ht="13" x14ac:dyDescent="0.15">
      <c r="C739" s="70"/>
      <c r="D739" s="70"/>
      <c r="E739" s="70"/>
    </row>
    <row r="740" spans="3:5" ht="13" x14ac:dyDescent="0.15">
      <c r="C740" s="70"/>
      <c r="D740" s="70"/>
      <c r="E740" s="70"/>
    </row>
    <row r="741" spans="3:5" ht="13" x14ac:dyDescent="0.15">
      <c r="C741" s="70"/>
      <c r="D741" s="70"/>
      <c r="E741" s="70"/>
    </row>
    <row r="742" spans="3:5" ht="13" x14ac:dyDescent="0.15">
      <c r="C742" s="70"/>
      <c r="D742" s="70"/>
      <c r="E742" s="70"/>
    </row>
    <row r="743" spans="3:5" ht="13" x14ac:dyDescent="0.15">
      <c r="C743" s="70"/>
      <c r="D743" s="70"/>
      <c r="E743" s="70"/>
    </row>
    <row r="744" spans="3:5" ht="13" x14ac:dyDescent="0.15">
      <c r="C744" s="70"/>
      <c r="D744" s="70"/>
      <c r="E744" s="70"/>
    </row>
    <row r="745" spans="3:5" ht="13" x14ac:dyDescent="0.15">
      <c r="C745" s="70"/>
      <c r="D745" s="70"/>
      <c r="E745" s="70"/>
    </row>
    <row r="746" spans="3:5" ht="13" x14ac:dyDescent="0.15">
      <c r="C746" s="70"/>
      <c r="D746" s="70"/>
      <c r="E746" s="70"/>
    </row>
    <row r="747" spans="3:5" ht="13" x14ac:dyDescent="0.15">
      <c r="C747" s="70"/>
      <c r="D747" s="70"/>
      <c r="E747" s="70"/>
    </row>
    <row r="748" spans="3:5" ht="13" x14ac:dyDescent="0.15">
      <c r="C748" s="70"/>
      <c r="D748" s="70"/>
      <c r="E748" s="70"/>
    </row>
    <row r="749" spans="3:5" ht="13" x14ac:dyDescent="0.15">
      <c r="C749" s="70"/>
      <c r="D749" s="70"/>
      <c r="E749" s="70"/>
    </row>
    <row r="750" spans="3:5" ht="13" x14ac:dyDescent="0.15">
      <c r="C750" s="70"/>
      <c r="D750" s="70"/>
      <c r="E750" s="70"/>
    </row>
    <row r="751" spans="3:5" ht="13" x14ac:dyDescent="0.15">
      <c r="C751" s="70"/>
      <c r="D751" s="70"/>
      <c r="E751" s="70"/>
    </row>
    <row r="752" spans="3:5" ht="13" x14ac:dyDescent="0.15">
      <c r="C752" s="70"/>
      <c r="D752" s="70"/>
      <c r="E752" s="70"/>
    </row>
    <row r="753" spans="3:5" ht="13" x14ac:dyDescent="0.15">
      <c r="C753" s="70"/>
      <c r="D753" s="70"/>
      <c r="E753" s="70"/>
    </row>
    <row r="754" spans="3:5" ht="13" x14ac:dyDescent="0.15">
      <c r="C754" s="70"/>
      <c r="D754" s="70"/>
      <c r="E754" s="70"/>
    </row>
    <row r="755" spans="3:5" ht="13" x14ac:dyDescent="0.15">
      <c r="C755" s="70"/>
      <c r="D755" s="70"/>
      <c r="E755" s="70"/>
    </row>
    <row r="756" spans="3:5" ht="13" x14ac:dyDescent="0.15">
      <c r="C756" s="70"/>
      <c r="D756" s="70"/>
      <c r="E756" s="70"/>
    </row>
    <row r="757" spans="3:5" ht="13" x14ac:dyDescent="0.15">
      <c r="C757" s="70"/>
      <c r="D757" s="70"/>
      <c r="E757" s="70"/>
    </row>
    <row r="758" spans="3:5" ht="13" x14ac:dyDescent="0.15">
      <c r="C758" s="70"/>
      <c r="D758" s="70"/>
      <c r="E758" s="70"/>
    </row>
    <row r="759" spans="3:5" ht="13" x14ac:dyDescent="0.15">
      <c r="C759" s="70"/>
      <c r="D759" s="70"/>
      <c r="E759" s="70"/>
    </row>
    <row r="760" spans="3:5" ht="13" x14ac:dyDescent="0.15">
      <c r="C760" s="70"/>
      <c r="D760" s="70"/>
      <c r="E760" s="70"/>
    </row>
    <row r="761" spans="3:5" ht="13" x14ac:dyDescent="0.15">
      <c r="C761" s="70"/>
      <c r="D761" s="70"/>
      <c r="E761" s="70"/>
    </row>
    <row r="762" spans="3:5" ht="13" x14ac:dyDescent="0.15">
      <c r="C762" s="70"/>
      <c r="D762" s="70"/>
      <c r="E762" s="70"/>
    </row>
    <row r="763" spans="3:5" ht="13" x14ac:dyDescent="0.15">
      <c r="C763" s="70"/>
      <c r="D763" s="70"/>
      <c r="E763" s="70"/>
    </row>
    <row r="764" spans="3:5" ht="13" x14ac:dyDescent="0.15">
      <c r="C764" s="70"/>
      <c r="D764" s="70"/>
      <c r="E764" s="70"/>
    </row>
    <row r="765" spans="3:5" ht="13" x14ac:dyDescent="0.15">
      <c r="C765" s="70"/>
      <c r="D765" s="70"/>
      <c r="E765" s="70"/>
    </row>
    <row r="766" spans="3:5" ht="13" x14ac:dyDescent="0.15">
      <c r="C766" s="70"/>
      <c r="D766" s="70"/>
      <c r="E766" s="70"/>
    </row>
    <row r="767" spans="3:5" ht="13" x14ac:dyDescent="0.15">
      <c r="C767" s="70"/>
      <c r="D767" s="70"/>
      <c r="E767" s="70"/>
    </row>
    <row r="768" spans="3:5" ht="13" x14ac:dyDescent="0.15">
      <c r="C768" s="70"/>
      <c r="D768" s="70"/>
      <c r="E768" s="70"/>
    </row>
    <row r="769" spans="3:5" ht="13" x14ac:dyDescent="0.15">
      <c r="C769" s="70"/>
      <c r="D769" s="70"/>
      <c r="E769" s="70"/>
    </row>
    <row r="770" spans="3:5" ht="13" x14ac:dyDescent="0.15">
      <c r="C770" s="70"/>
      <c r="D770" s="70"/>
      <c r="E770" s="70"/>
    </row>
    <row r="771" spans="3:5" ht="13" x14ac:dyDescent="0.15">
      <c r="C771" s="70"/>
      <c r="D771" s="70"/>
      <c r="E771" s="70"/>
    </row>
    <row r="772" spans="3:5" ht="13" x14ac:dyDescent="0.15">
      <c r="C772" s="70"/>
      <c r="D772" s="70"/>
      <c r="E772" s="70"/>
    </row>
    <row r="773" spans="3:5" ht="13" x14ac:dyDescent="0.15">
      <c r="C773" s="70"/>
      <c r="D773" s="70"/>
      <c r="E773" s="70"/>
    </row>
    <row r="774" spans="3:5" ht="13" x14ac:dyDescent="0.15">
      <c r="C774" s="70"/>
      <c r="D774" s="70"/>
      <c r="E774" s="70"/>
    </row>
    <row r="775" spans="3:5" ht="13" x14ac:dyDescent="0.15">
      <c r="C775" s="70"/>
      <c r="D775" s="70"/>
      <c r="E775" s="70"/>
    </row>
    <row r="776" spans="3:5" ht="13" x14ac:dyDescent="0.15">
      <c r="C776" s="70"/>
      <c r="D776" s="70"/>
      <c r="E776" s="70"/>
    </row>
    <row r="777" spans="3:5" ht="13" x14ac:dyDescent="0.15">
      <c r="C777" s="70"/>
      <c r="D777" s="70"/>
      <c r="E777" s="70"/>
    </row>
    <row r="778" spans="3:5" ht="13" x14ac:dyDescent="0.15">
      <c r="C778" s="70"/>
      <c r="D778" s="70"/>
      <c r="E778" s="70"/>
    </row>
    <row r="779" spans="3:5" ht="13" x14ac:dyDescent="0.15">
      <c r="C779" s="70"/>
      <c r="D779" s="70"/>
      <c r="E779" s="70"/>
    </row>
    <row r="780" spans="3:5" ht="13" x14ac:dyDescent="0.15">
      <c r="C780" s="70"/>
      <c r="D780" s="70"/>
      <c r="E780" s="70"/>
    </row>
    <row r="781" spans="3:5" ht="13" x14ac:dyDescent="0.15">
      <c r="C781" s="70"/>
      <c r="D781" s="70"/>
      <c r="E781" s="70"/>
    </row>
    <row r="782" spans="3:5" ht="13" x14ac:dyDescent="0.15">
      <c r="C782" s="70"/>
      <c r="D782" s="70"/>
      <c r="E782" s="70"/>
    </row>
    <row r="783" spans="3:5" ht="13" x14ac:dyDescent="0.15">
      <c r="C783" s="70"/>
      <c r="D783" s="70"/>
      <c r="E783" s="70"/>
    </row>
    <row r="784" spans="3:5" ht="13" x14ac:dyDescent="0.15">
      <c r="C784" s="70"/>
      <c r="D784" s="70"/>
      <c r="E784" s="70"/>
    </row>
    <row r="785" spans="3:5" ht="13" x14ac:dyDescent="0.15">
      <c r="C785" s="70"/>
      <c r="D785" s="70"/>
      <c r="E785" s="70"/>
    </row>
    <row r="786" spans="3:5" ht="13" x14ac:dyDescent="0.15">
      <c r="C786" s="70"/>
      <c r="D786" s="70"/>
      <c r="E786" s="70"/>
    </row>
    <row r="787" spans="3:5" ht="13" x14ac:dyDescent="0.15">
      <c r="C787" s="70"/>
      <c r="D787" s="70"/>
      <c r="E787" s="70"/>
    </row>
    <row r="788" spans="3:5" ht="13" x14ac:dyDescent="0.15">
      <c r="C788" s="70"/>
      <c r="D788" s="70"/>
      <c r="E788" s="70"/>
    </row>
    <row r="789" spans="3:5" ht="13" x14ac:dyDescent="0.15">
      <c r="C789" s="70"/>
      <c r="D789" s="70"/>
      <c r="E789" s="70"/>
    </row>
    <row r="790" spans="3:5" ht="13" x14ac:dyDescent="0.15">
      <c r="C790" s="70"/>
      <c r="D790" s="70"/>
      <c r="E790" s="70"/>
    </row>
    <row r="791" spans="3:5" ht="13" x14ac:dyDescent="0.15">
      <c r="C791" s="70"/>
      <c r="D791" s="70"/>
      <c r="E791" s="70"/>
    </row>
    <row r="792" spans="3:5" ht="13" x14ac:dyDescent="0.15">
      <c r="C792" s="70"/>
      <c r="D792" s="70"/>
      <c r="E792" s="70"/>
    </row>
    <row r="793" spans="3:5" ht="13" x14ac:dyDescent="0.15">
      <c r="C793" s="70"/>
      <c r="D793" s="70"/>
      <c r="E793" s="70"/>
    </row>
    <row r="794" spans="3:5" ht="13" x14ac:dyDescent="0.15">
      <c r="C794" s="70"/>
      <c r="D794" s="70"/>
      <c r="E794" s="70"/>
    </row>
    <row r="795" spans="3:5" ht="13" x14ac:dyDescent="0.15">
      <c r="C795" s="70"/>
      <c r="D795" s="70"/>
      <c r="E795" s="70"/>
    </row>
    <row r="796" spans="3:5" ht="13" x14ac:dyDescent="0.15">
      <c r="C796" s="70"/>
      <c r="D796" s="70"/>
      <c r="E796" s="70"/>
    </row>
    <row r="797" spans="3:5" ht="13" x14ac:dyDescent="0.15">
      <c r="C797" s="70"/>
      <c r="D797" s="70"/>
      <c r="E797" s="70"/>
    </row>
    <row r="798" spans="3:5" ht="13" x14ac:dyDescent="0.15">
      <c r="C798" s="70"/>
      <c r="D798" s="70"/>
      <c r="E798" s="70"/>
    </row>
    <row r="799" spans="3:5" ht="13" x14ac:dyDescent="0.15">
      <c r="C799" s="70"/>
      <c r="D799" s="70"/>
      <c r="E799" s="70"/>
    </row>
    <row r="800" spans="3:5" ht="13" x14ac:dyDescent="0.15">
      <c r="C800" s="70"/>
      <c r="D800" s="70"/>
      <c r="E800" s="70"/>
    </row>
    <row r="801" spans="3:5" ht="13" x14ac:dyDescent="0.15">
      <c r="C801" s="70"/>
      <c r="D801" s="70"/>
      <c r="E801" s="70"/>
    </row>
    <row r="802" spans="3:5" ht="13" x14ac:dyDescent="0.15">
      <c r="C802" s="70"/>
      <c r="D802" s="70"/>
      <c r="E802" s="70"/>
    </row>
    <row r="803" spans="3:5" ht="13" x14ac:dyDescent="0.15">
      <c r="C803" s="70"/>
      <c r="D803" s="70"/>
      <c r="E803" s="70"/>
    </row>
    <row r="804" spans="3:5" ht="13" x14ac:dyDescent="0.15">
      <c r="C804" s="70"/>
      <c r="D804" s="70"/>
      <c r="E804" s="70"/>
    </row>
    <row r="805" spans="3:5" ht="13" x14ac:dyDescent="0.15">
      <c r="C805" s="70"/>
      <c r="D805" s="70"/>
      <c r="E805" s="70"/>
    </row>
    <row r="806" spans="3:5" ht="13" x14ac:dyDescent="0.15">
      <c r="C806" s="70"/>
      <c r="D806" s="70"/>
      <c r="E806" s="70"/>
    </row>
    <row r="807" spans="3:5" ht="13" x14ac:dyDescent="0.15">
      <c r="C807" s="70"/>
      <c r="D807" s="70"/>
      <c r="E807" s="70"/>
    </row>
    <row r="808" spans="3:5" ht="13" x14ac:dyDescent="0.15">
      <c r="C808" s="70"/>
      <c r="D808" s="70"/>
      <c r="E808" s="70"/>
    </row>
    <row r="809" spans="3:5" ht="13" x14ac:dyDescent="0.15">
      <c r="C809" s="70"/>
      <c r="D809" s="70"/>
      <c r="E809" s="70"/>
    </row>
    <row r="810" spans="3:5" ht="13" x14ac:dyDescent="0.15">
      <c r="C810" s="70"/>
      <c r="D810" s="70"/>
      <c r="E810" s="70"/>
    </row>
    <row r="811" spans="3:5" ht="13" x14ac:dyDescent="0.15">
      <c r="C811" s="70"/>
      <c r="D811" s="70"/>
      <c r="E811" s="70"/>
    </row>
    <row r="812" spans="3:5" ht="13" x14ac:dyDescent="0.15">
      <c r="C812" s="70"/>
      <c r="D812" s="70"/>
      <c r="E812" s="70"/>
    </row>
    <row r="813" spans="3:5" ht="13" x14ac:dyDescent="0.15">
      <c r="C813" s="70"/>
      <c r="D813" s="70"/>
      <c r="E813" s="70"/>
    </row>
    <row r="814" spans="3:5" ht="13" x14ac:dyDescent="0.15">
      <c r="C814" s="70"/>
      <c r="D814" s="70"/>
      <c r="E814" s="70"/>
    </row>
    <row r="815" spans="3:5" ht="13" x14ac:dyDescent="0.15">
      <c r="C815" s="70"/>
      <c r="D815" s="70"/>
      <c r="E815" s="70"/>
    </row>
    <row r="816" spans="3:5" ht="13" x14ac:dyDescent="0.15">
      <c r="C816" s="70"/>
      <c r="D816" s="70"/>
      <c r="E816" s="70"/>
    </row>
    <row r="817" spans="3:5" ht="13" x14ac:dyDescent="0.15">
      <c r="C817" s="70"/>
      <c r="D817" s="70"/>
      <c r="E817" s="70"/>
    </row>
    <row r="818" spans="3:5" ht="13" x14ac:dyDescent="0.15">
      <c r="C818" s="70"/>
      <c r="D818" s="70"/>
      <c r="E818" s="70"/>
    </row>
    <row r="819" spans="3:5" ht="13" x14ac:dyDescent="0.15">
      <c r="C819" s="70"/>
      <c r="D819" s="70"/>
      <c r="E819" s="70"/>
    </row>
    <row r="820" spans="3:5" ht="13" x14ac:dyDescent="0.15">
      <c r="C820" s="70"/>
      <c r="D820" s="70"/>
      <c r="E820" s="70"/>
    </row>
    <row r="821" spans="3:5" ht="13" x14ac:dyDescent="0.15">
      <c r="C821" s="70"/>
      <c r="D821" s="70"/>
      <c r="E821" s="70"/>
    </row>
    <row r="822" spans="3:5" ht="13" x14ac:dyDescent="0.15">
      <c r="C822" s="70"/>
      <c r="D822" s="70"/>
      <c r="E822" s="70"/>
    </row>
    <row r="823" spans="3:5" ht="13" x14ac:dyDescent="0.15">
      <c r="C823" s="70"/>
      <c r="D823" s="70"/>
      <c r="E823" s="70"/>
    </row>
    <row r="824" spans="3:5" ht="13" x14ac:dyDescent="0.15">
      <c r="C824" s="70"/>
      <c r="D824" s="70"/>
      <c r="E824" s="70"/>
    </row>
    <row r="825" spans="3:5" ht="13" x14ac:dyDescent="0.15">
      <c r="C825" s="70"/>
      <c r="D825" s="70"/>
      <c r="E825" s="70"/>
    </row>
    <row r="826" spans="3:5" ht="13" x14ac:dyDescent="0.15">
      <c r="C826" s="70"/>
      <c r="D826" s="70"/>
      <c r="E826" s="70"/>
    </row>
    <row r="827" spans="3:5" ht="13" x14ac:dyDescent="0.15">
      <c r="C827" s="70"/>
      <c r="D827" s="70"/>
      <c r="E827" s="70"/>
    </row>
    <row r="828" spans="3:5" ht="13" x14ac:dyDescent="0.15">
      <c r="C828" s="70"/>
      <c r="D828" s="70"/>
      <c r="E828" s="70"/>
    </row>
    <row r="829" spans="3:5" ht="13" x14ac:dyDescent="0.15">
      <c r="C829" s="70"/>
      <c r="D829" s="70"/>
      <c r="E829" s="70"/>
    </row>
    <row r="830" spans="3:5" ht="13" x14ac:dyDescent="0.15">
      <c r="C830" s="70"/>
      <c r="D830" s="70"/>
      <c r="E830" s="70"/>
    </row>
    <row r="831" spans="3:5" ht="13" x14ac:dyDescent="0.15">
      <c r="C831" s="70"/>
      <c r="D831" s="70"/>
      <c r="E831" s="70"/>
    </row>
    <row r="832" spans="3:5" ht="13" x14ac:dyDescent="0.15">
      <c r="C832" s="70"/>
      <c r="D832" s="70"/>
      <c r="E832" s="70"/>
    </row>
    <row r="833" spans="3:5" ht="13" x14ac:dyDescent="0.15">
      <c r="C833" s="70"/>
      <c r="D833" s="70"/>
      <c r="E833" s="70"/>
    </row>
    <row r="834" spans="3:5" ht="13" x14ac:dyDescent="0.15">
      <c r="C834" s="70"/>
      <c r="D834" s="70"/>
      <c r="E834" s="70"/>
    </row>
    <row r="835" spans="3:5" ht="13" x14ac:dyDescent="0.15">
      <c r="C835" s="70"/>
      <c r="D835" s="70"/>
      <c r="E835" s="70"/>
    </row>
    <row r="836" spans="3:5" ht="13" x14ac:dyDescent="0.15">
      <c r="C836" s="70"/>
      <c r="D836" s="70"/>
      <c r="E836" s="70"/>
    </row>
    <row r="837" spans="3:5" ht="13" x14ac:dyDescent="0.15">
      <c r="C837" s="70"/>
      <c r="D837" s="70"/>
      <c r="E837" s="70"/>
    </row>
    <row r="838" spans="3:5" ht="13" x14ac:dyDescent="0.15">
      <c r="C838" s="70"/>
      <c r="D838" s="70"/>
      <c r="E838" s="70"/>
    </row>
    <row r="839" spans="3:5" ht="13" x14ac:dyDescent="0.15">
      <c r="C839" s="70"/>
      <c r="D839" s="70"/>
      <c r="E839" s="70"/>
    </row>
    <row r="840" spans="3:5" ht="13" x14ac:dyDescent="0.15">
      <c r="C840" s="70"/>
      <c r="D840" s="70"/>
      <c r="E840" s="70"/>
    </row>
    <row r="841" spans="3:5" ht="13" x14ac:dyDescent="0.15">
      <c r="C841" s="70"/>
      <c r="D841" s="70"/>
      <c r="E841" s="70"/>
    </row>
    <row r="842" spans="3:5" ht="13" x14ac:dyDescent="0.15">
      <c r="C842" s="70"/>
      <c r="D842" s="70"/>
      <c r="E842" s="70"/>
    </row>
    <row r="843" spans="3:5" ht="13" x14ac:dyDescent="0.15">
      <c r="C843" s="70"/>
      <c r="D843" s="70"/>
      <c r="E843" s="70"/>
    </row>
    <row r="844" spans="3:5" ht="13" x14ac:dyDescent="0.15">
      <c r="C844" s="70"/>
      <c r="D844" s="70"/>
      <c r="E844" s="70"/>
    </row>
    <row r="845" spans="3:5" ht="13" x14ac:dyDescent="0.15">
      <c r="C845" s="70"/>
      <c r="D845" s="70"/>
      <c r="E845" s="70"/>
    </row>
    <row r="846" spans="3:5" ht="13" x14ac:dyDescent="0.15">
      <c r="C846" s="70"/>
      <c r="D846" s="70"/>
      <c r="E846" s="70"/>
    </row>
    <row r="847" spans="3:5" ht="13" x14ac:dyDescent="0.15">
      <c r="C847" s="70"/>
      <c r="D847" s="70"/>
      <c r="E847" s="70"/>
    </row>
    <row r="848" spans="3:5" ht="13" x14ac:dyDescent="0.15">
      <c r="C848" s="70"/>
      <c r="D848" s="70"/>
      <c r="E848" s="70"/>
    </row>
    <row r="849" spans="3:5" ht="13" x14ac:dyDescent="0.15">
      <c r="C849" s="70"/>
      <c r="D849" s="70"/>
      <c r="E849" s="70"/>
    </row>
    <row r="850" spans="3:5" ht="13" x14ac:dyDescent="0.15">
      <c r="C850" s="70"/>
      <c r="D850" s="70"/>
      <c r="E850" s="70"/>
    </row>
    <row r="851" spans="3:5" ht="13" x14ac:dyDescent="0.15">
      <c r="C851" s="70"/>
      <c r="D851" s="70"/>
      <c r="E851" s="70"/>
    </row>
    <row r="852" spans="3:5" ht="13" x14ac:dyDescent="0.15">
      <c r="C852" s="70"/>
      <c r="D852" s="70"/>
      <c r="E852" s="70"/>
    </row>
    <row r="853" spans="3:5" ht="13" x14ac:dyDescent="0.15">
      <c r="C853" s="70"/>
      <c r="D853" s="70"/>
      <c r="E853" s="70"/>
    </row>
    <row r="854" spans="3:5" ht="13" x14ac:dyDescent="0.15">
      <c r="C854" s="70"/>
      <c r="D854" s="70"/>
      <c r="E854" s="70"/>
    </row>
    <row r="855" spans="3:5" ht="13" x14ac:dyDescent="0.15">
      <c r="C855" s="70"/>
      <c r="D855" s="70"/>
      <c r="E855" s="70"/>
    </row>
    <row r="856" spans="3:5" ht="13" x14ac:dyDescent="0.15">
      <c r="C856" s="70"/>
      <c r="D856" s="70"/>
      <c r="E856" s="70"/>
    </row>
    <row r="857" spans="3:5" ht="13" x14ac:dyDescent="0.15">
      <c r="C857" s="70"/>
      <c r="D857" s="70"/>
      <c r="E857" s="70"/>
    </row>
    <row r="858" spans="3:5" ht="13" x14ac:dyDescent="0.15">
      <c r="C858" s="70"/>
      <c r="D858" s="70"/>
      <c r="E858" s="70"/>
    </row>
    <row r="859" spans="3:5" ht="13" x14ac:dyDescent="0.15">
      <c r="C859" s="70"/>
      <c r="D859" s="70"/>
      <c r="E859" s="70"/>
    </row>
    <row r="860" spans="3:5" ht="13" x14ac:dyDescent="0.15">
      <c r="C860" s="70"/>
      <c r="D860" s="70"/>
      <c r="E860" s="70"/>
    </row>
    <row r="861" spans="3:5" ht="13" x14ac:dyDescent="0.15">
      <c r="C861" s="70"/>
      <c r="D861" s="70"/>
      <c r="E861" s="70"/>
    </row>
    <row r="862" spans="3:5" ht="13" x14ac:dyDescent="0.15">
      <c r="C862" s="70"/>
      <c r="D862" s="70"/>
      <c r="E862" s="70"/>
    </row>
    <row r="863" spans="3:5" ht="13" x14ac:dyDescent="0.15">
      <c r="C863" s="70"/>
      <c r="D863" s="70"/>
      <c r="E863" s="70"/>
    </row>
    <row r="864" spans="3:5" ht="13" x14ac:dyDescent="0.15">
      <c r="C864" s="70"/>
      <c r="D864" s="70"/>
      <c r="E864" s="70"/>
    </row>
    <row r="865" spans="3:5" ht="13" x14ac:dyDescent="0.15">
      <c r="C865" s="70"/>
      <c r="D865" s="70"/>
      <c r="E865" s="70"/>
    </row>
    <row r="866" spans="3:5" ht="13" x14ac:dyDescent="0.15">
      <c r="C866" s="70"/>
      <c r="D866" s="70"/>
      <c r="E866" s="70"/>
    </row>
    <row r="867" spans="3:5" ht="13" x14ac:dyDescent="0.15">
      <c r="C867" s="70"/>
      <c r="D867" s="70"/>
      <c r="E867" s="70"/>
    </row>
    <row r="868" spans="3:5" ht="13" x14ac:dyDescent="0.15">
      <c r="C868" s="70"/>
      <c r="D868" s="70"/>
      <c r="E868" s="70"/>
    </row>
    <row r="869" spans="3:5" ht="13" x14ac:dyDescent="0.15">
      <c r="C869" s="70"/>
      <c r="D869" s="70"/>
      <c r="E869" s="70"/>
    </row>
    <row r="870" spans="3:5" ht="13" x14ac:dyDescent="0.15">
      <c r="C870" s="70"/>
      <c r="D870" s="70"/>
      <c r="E870" s="70"/>
    </row>
    <row r="871" spans="3:5" ht="13" x14ac:dyDescent="0.15">
      <c r="C871" s="70"/>
      <c r="D871" s="70"/>
      <c r="E871" s="70"/>
    </row>
    <row r="872" spans="3:5" ht="13" x14ac:dyDescent="0.15">
      <c r="C872" s="70"/>
      <c r="D872" s="70"/>
      <c r="E872" s="70"/>
    </row>
    <row r="873" spans="3:5" ht="13" x14ac:dyDescent="0.15">
      <c r="C873" s="70"/>
      <c r="D873" s="70"/>
      <c r="E873" s="70"/>
    </row>
    <row r="874" spans="3:5" ht="13" x14ac:dyDescent="0.15">
      <c r="C874" s="70"/>
      <c r="D874" s="70"/>
      <c r="E874" s="70"/>
    </row>
    <row r="875" spans="3:5" ht="13" x14ac:dyDescent="0.15">
      <c r="C875" s="70"/>
      <c r="D875" s="70"/>
      <c r="E875" s="70"/>
    </row>
    <row r="876" spans="3:5" ht="13" x14ac:dyDescent="0.15">
      <c r="C876" s="70"/>
      <c r="D876" s="70"/>
      <c r="E876" s="70"/>
    </row>
    <row r="877" spans="3:5" ht="13" x14ac:dyDescent="0.15">
      <c r="C877" s="70"/>
      <c r="D877" s="70"/>
      <c r="E877" s="70"/>
    </row>
    <row r="878" spans="3:5" ht="13" x14ac:dyDescent="0.15">
      <c r="C878" s="70"/>
      <c r="D878" s="70"/>
      <c r="E878" s="70"/>
    </row>
    <row r="879" spans="3:5" ht="13" x14ac:dyDescent="0.15">
      <c r="C879" s="70"/>
      <c r="D879" s="70"/>
      <c r="E879" s="70"/>
    </row>
    <row r="880" spans="3:5" ht="13" x14ac:dyDescent="0.15">
      <c r="C880" s="70"/>
      <c r="D880" s="70"/>
      <c r="E880" s="70"/>
    </row>
    <row r="881" spans="3:5" ht="13" x14ac:dyDescent="0.15">
      <c r="C881" s="70"/>
      <c r="D881" s="70"/>
      <c r="E881" s="70"/>
    </row>
    <row r="882" spans="3:5" ht="13" x14ac:dyDescent="0.15">
      <c r="C882" s="70"/>
      <c r="D882" s="70"/>
      <c r="E882" s="70"/>
    </row>
    <row r="883" spans="3:5" ht="13" x14ac:dyDescent="0.15">
      <c r="C883" s="70"/>
      <c r="D883" s="70"/>
      <c r="E883" s="70"/>
    </row>
    <row r="884" spans="3:5" ht="13" x14ac:dyDescent="0.15">
      <c r="C884" s="70"/>
      <c r="D884" s="70"/>
      <c r="E884" s="70"/>
    </row>
    <row r="885" spans="3:5" ht="13" x14ac:dyDescent="0.15">
      <c r="C885" s="70"/>
      <c r="D885" s="70"/>
      <c r="E885" s="70"/>
    </row>
    <row r="886" spans="3:5" ht="13" x14ac:dyDescent="0.15">
      <c r="C886" s="70"/>
      <c r="D886" s="70"/>
      <c r="E886" s="70"/>
    </row>
    <row r="887" spans="3:5" ht="13" x14ac:dyDescent="0.15">
      <c r="C887" s="70"/>
      <c r="D887" s="70"/>
      <c r="E887" s="70"/>
    </row>
    <row r="888" spans="3:5" ht="13" x14ac:dyDescent="0.15">
      <c r="C888" s="70"/>
      <c r="D888" s="70"/>
      <c r="E888" s="70"/>
    </row>
    <row r="889" spans="3:5" ht="13" x14ac:dyDescent="0.15">
      <c r="C889" s="70"/>
      <c r="D889" s="70"/>
      <c r="E889" s="70"/>
    </row>
    <row r="890" spans="3:5" ht="13" x14ac:dyDescent="0.15">
      <c r="C890" s="70"/>
      <c r="D890" s="70"/>
      <c r="E890" s="70"/>
    </row>
    <row r="891" spans="3:5" ht="13" x14ac:dyDescent="0.15">
      <c r="C891" s="70"/>
      <c r="D891" s="70"/>
      <c r="E891" s="70"/>
    </row>
    <row r="892" spans="3:5" ht="13" x14ac:dyDescent="0.15">
      <c r="C892" s="70"/>
      <c r="D892" s="70"/>
      <c r="E892" s="70"/>
    </row>
    <row r="893" spans="3:5" ht="13" x14ac:dyDescent="0.15">
      <c r="C893" s="70"/>
      <c r="D893" s="70"/>
      <c r="E893" s="70"/>
    </row>
    <row r="894" spans="3:5" ht="13" x14ac:dyDescent="0.15">
      <c r="C894" s="70"/>
      <c r="D894" s="70"/>
      <c r="E894" s="70"/>
    </row>
    <row r="895" spans="3:5" ht="13" x14ac:dyDescent="0.15">
      <c r="C895" s="70"/>
      <c r="D895" s="70"/>
      <c r="E895" s="70"/>
    </row>
    <row r="896" spans="3:5" ht="13" x14ac:dyDescent="0.15">
      <c r="C896" s="70"/>
      <c r="D896" s="70"/>
      <c r="E896" s="70"/>
    </row>
    <row r="897" spans="3:5" ht="13" x14ac:dyDescent="0.15">
      <c r="C897" s="70"/>
      <c r="D897" s="70"/>
      <c r="E897" s="70"/>
    </row>
    <row r="898" spans="3:5" ht="13" x14ac:dyDescent="0.15">
      <c r="C898" s="70"/>
      <c r="D898" s="70"/>
      <c r="E898" s="70"/>
    </row>
    <row r="899" spans="3:5" ht="13" x14ac:dyDescent="0.15">
      <c r="C899" s="70"/>
      <c r="D899" s="70"/>
      <c r="E899" s="70"/>
    </row>
    <row r="900" spans="3:5" ht="13" x14ac:dyDescent="0.15">
      <c r="C900" s="70"/>
      <c r="D900" s="70"/>
      <c r="E900" s="70"/>
    </row>
    <row r="901" spans="3:5" ht="13" x14ac:dyDescent="0.15">
      <c r="C901" s="70"/>
      <c r="D901" s="70"/>
      <c r="E901" s="70"/>
    </row>
    <row r="902" spans="3:5" ht="13" x14ac:dyDescent="0.15">
      <c r="C902" s="70"/>
      <c r="D902" s="70"/>
      <c r="E902" s="70"/>
    </row>
    <row r="903" spans="3:5" ht="13" x14ac:dyDescent="0.15">
      <c r="C903" s="70"/>
      <c r="D903" s="70"/>
      <c r="E903" s="70"/>
    </row>
    <row r="904" spans="3:5" ht="13" x14ac:dyDescent="0.15">
      <c r="C904" s="70"/>
      <c r="D904" s="70"/>
      <c r="E904" s="70"/>
    </row>
    <row r="905" spans="3:5" ht="13" x14ac:dyDescent="0.15">
      <c r="C905" s="70"/>
      <c r="D905" s="70"/>
      <c r="E905" s="70"/>
    </row>
    <row r="906" spans="3:5" ht="13" x14ac:dyDescent="0.15">
      <c r="C906" s="70"/>
      <c r="D906" s="70"/>
      <c r="E906" s="70"/>
    </row>
    <row r="907" spans="3:5" ht="13" x14ac:dyDescent="0.15">
      <c r="C907" s="70"/>
      <c r="D907" s="70"/>
      <c r="E907" s="70"/>
    </row>
    <row r="908" spans="3:5" ht="13" x14ac:dyDescent="0.15">
      <c r="C908" s="70"/>
      <c r="D908" s="70"/>
      <c r="E908" s="70"/>
    </row>
    <row r="909" spans="3:5" ht="13" x14ac:dyDescent="0.15">
      <c r="C909" s="70"/>
      <c r="D909" s="70"/>
      <c r="E909" s="70"/>
    </row>
    <row r="910" spans="3:5" ht="13" x14ac:dyDescent="0.15">
      <c r="C910" s="70"/>
      <c r="D910" s="70"/>
      <c r="E910" s="70"/>
    </row>
    <row r="911" spans="3:5" ht="13" x14ac:dyDescent="0.15">
      <c r="C911" s="70"/>
      <c r="D911" s="70"/>
      <c r="E911" s="70"/>
    </row>
    <row r="912" spans="3:5" ht="13" x14ac:dyDescent="0.15">
      <c r="C912" s="70"/>
      <c r="D912" s="70"/>
      <c r="E912" s="70"/>
    </row>
    <row r="913" spans="3:5" ht="13" x14ac:dyDescent="0.15">
      <c r="C913" s="70"/>
      <c r="D913" s="70"/>
      <c r="E913" s="70"/>
    </row>
    <row r="914" spans="3:5" ht="13" x14ac:dyDescent="0.15">
      <c r="C914" s="70"/>
      <c r="D914" s="70"/>
      <c r="E914" s="70"/>
    </row>
    <row r="915" spans="3:5" ht="13" x14ac:dyDescent="0.15">
      <c r="C915" s="70"/>
      <c r="D915" s="70"/>
      <c r="E915" s="70"/>
    </row>
    <row r="916" spans="3:5" ht="13" x14ac:dyDescent="0.15">
      <c r="C916" s="70"/>
      <c r="D916" s="70"/>
      <c r="E916" s="70"/>
    </row>
    <row r="917" spans="3:5" ht="13" x14ac:dyDescent="0.15">
      <c r="C917" s="70"/>
      <c r="D917" s="70"/>
      <c r="E917" s="70"/>
    </row>
    <row r="918" spans="3:5" ht="13" x14ac:dyDescent="0.15">
      <c r="C918" s="70"/>
      <c r="D918" s="70"/>
      <c r="E918" s="70"/>
    </row>
    <row r="919" spans="3:5" ht="13" x14ac:dyDescent="0.15">
      <c r="C919" s="70"/>
      <c r="D919" s="70"/>
      <c r="E919" s="70"/>
    </row>
    <row r="920" spans="3:5" ht="13" x14ac:dyDescent="0.15">
      <c r="C920" s="70"/>
      <c r="D920" s="70"/>
      <c r="E920" s="70"/>
    </row>
    <row r="921" spans="3:5" ht="13" x14ac:dyDescent="0.15">
      <c r="C921" s="70"/>
      <c r="D921" s="70"/>
      <c r="E921" s="70"/>
    </row>
    <row r="922" spans="3:5" ht="13" x14ac:dyDescent="0.15">
      <c r="C922" s="70"/>
      <c r="D922" s="70"/>
      <c r="E922" s="70"/>
    </row>
    <row r="923" spans="3:5" ht="13" x14ac:dyDescent="0.15">
      <c r="C923" s="70"/>
      <c r="D923" s="70"/>
      <c r="E923" s="70"/>
    </row>
    <row r="924" spans="3:5" ht="13" x14ac:dyDescent="0.15">
      <c r="C924" s="70"/>
      <c r="D924" s="70"/>
      <c r="E924" s="70"/>
    </row>
    <row r="925" spans="3:5" ht="13" x14ac:dyDescent="0.15">
      <c r="C925" s="70"/>
      <c r="D925" s="70"/>
      <c r="E925" s="70"/>
    </row>
    <row r="926" spans="3:5" ht="13" x14ac:dyDescent="0.15">
      <c r="C926" s="70"/>
      <c r="D926" s="70"/>
      <c r="E926" s="70"/>
    </row>
    <row r="927" spans="3:5" ht="13" x14ac:dyDescent="0.15">
      <c r="C927" s="70"/>
      <c r="D927" s="70"/>
      <c r="E927" s="70"/>
    </row>
    <row r="928" spans="3:5" ht="13" x14ac:dyDescent="0.15">
      <c r="C928" s="70"/>
      <c r="D928" s="70"/>
      <c r="E928" s="70"/>
    </row>
    <row r="929" spans="3:5" ht="13" x14ac:dyDescent="0.15">
      <c r="C929" s="70"/>
      <c r="D929" s="70"/>
      <c r="E929" s="70"/>
    </row>
    <row r="930" spans="3:5" ht="13" x14ac:dyDescent="0.15">
      <c r="C930" s="70"/>
      <c r="D930" s="70"/>
      <c r="E930" s="70"/>
    </row>
    <row r="931" spans="3:5" ht="13" x14ac:dyDescent="0.15">
      <c r="C931" s="70"/>
      <c r="D931" s="70"/>
      <c r="E931" s="70"/>
    </row>
    <row r="932" spans="3:5" ht="13" x14ac:dyDescent="0.15">
      <c r="C932" s="70"/>
      <c r="D932" s="70"/>
      <c r="E932" s="70"/>
    </row>
    <row r="933" spans="3:5" ht="13" x14ac:dyDescent="0.15">
      <c r="C933" s="70"/>
      <c r="D933" s="70"/>
      <c r="E933" s="70"/>
    </row>
    <row r="934" spans="3:5" ht="13" x14ac:dyDescent="0.15">
      <c r="C934" s="70"/>
      <c r="D934" s="70"/>
      <c r="E934" s="70"/>
    </row>
    <row r="935" spans="3:5" ht="13" x14ac:dyDescent="0.15">
      <c r="C935" s="70"/>
      <c r="D935" s="70"/>
      <c r="E935" s="70"/>
    </row>
    <row r="936" spans="3:5" ht="13" x14ac:dyDescent="0.15">
      <c r="C936" s="70"/>
      <c r="D936" s="70"/>
      <c r="E936" s="70"/>
    </row>
    <row r="937" spans="3:5" ht="13" x14ac:dyDescent="0.15">
      <c r="C937" s="70"/>
      <c r="D937" s="70"/>
      <c r="E937" s="70"/>
    </row>
    <row r="938" spans="3:5" ht="13" x14ac:dyDescent="0.15">
      <c r="C938" s="70"/>
      <c r="D938" s="70"/>
      <c r="E938" s="70"/>
    </row>
    <row r="939" spans="3:5" ht="13" x14ac:dyDescent="0.15">
      <c r="C939" s="70"/>
      <c r="D939" s="70"/>
      <c r="E939" s="70"/>
    </row>
    <row r="940" spans="3:5" ht="13" x14ac:dyDescent="0.15">
      <c r="C940" s="70"/>
      <c r="D940" s="70"/>
      <c r="E940" s="70"/>
    </row>
    <row r="941" spans="3:5" ht="13" x14ac:dyDescent="0.15">
      <c r="C941" s="70"/>
      <c r="D941" s="70"/>
      <c r="E941" s="70"/>
    </row>
    <row r="942" spans="3:5" ht="13" x14ac:dyDescent="0.15">
      <c r="C942" s="70"/>
      <c r="D942" s="70"/>
      <c r="E942" s="70"/>
    </row>
    <row r="943" spans="3:5" ht="13" x14ac:dyDescent="0.15">
      <c r="C943" s="70"/>
      <c r="D943" s="70"/>
      <c r="E943" s="70"/>
    </row>
    <row r="944" spans="3:5" ht="13" x14ac:dyDescent="0.15">
      <c r="C944" s="70"/>
      <c r="D944" s="70"/>
      <c r="E944" s="70"/>
    </row>
    <row r="945" spans="3:5" ht="13" x14ac:dyDescent="0.15">
      <c r="C945" s="70"/>
      <c r="D945" s="70"/>
      <c r="E945" s="70"/>
    </row>
    <row r="946" spans="3:5" ht="13" x14ac:dyDescent="0.15">
      <c r="C946" s="70"/>
      <c r="D946" s="70"/>
      <c r="E946" s="70"/>
    </row>
    <row r="947" spans="3:5" ht="13" x14ac:dyDescent="0.15">
      <c r="C947" s="70"/>
      <c r="D947" s="70"/>
      <c r="E947" s="70"/>
    </row>
    <row r="948" spans="3:5" ht="13" x14ac:dyDescent="0.15">
      <c r="C948" s="70"/>
      <c r="D948" s="70"/>
      <c r="E948" s="70"/>
    </row>
    <row r="949" spans="3:5" ht="13" x14ac:dyDescent="0.15">
      <c r="C949" s="70"/>
      <c r="D949" s="70"/>
      <c r="E949" s="70"/>
    </row>
    <row r="950" spans="3:5" ht="13" x14ac:dyDescent="0.15">
      <c r="C950" s="70"/>
      <c r="D950" s="70"/>
      <c r="E950" s="70"/>
    </row>
    <row r="951" spans="3:5" ht="13" x14ac:dyDescent="0.15">
      <c r="C951" s="70"/>
      <c r="D951" s="70"/>
      <c r="E951" s="70"/>
    </row>
    <row r="952" spans="3:5" ht="13" x14ac:dyDescent="0.15">
      <c r="C952" s="70"/>
      <c r="D952" s="70"/>
      <c r="E952" s="70"/>
    </row>
    <row r="953" spans="3:5" ht="13" x14ac:dyDescent="0.15">
      <c r="C953" s="70"/>
      <c r="D953" s="70"/>
      <c r="E953" s="70"/>
    </row>
    <row r="954" spans="3:5" ht="13" x14ac:dyDescent="0.15">
      <c r="C954" s="70"/>
      <c r="D954" s="70"/>
      <c r="E954" s="70"/>
    </row>
    <row r="955" spans="3:5" ht="13" x14ac:dyDescent="0.15">
      <c r="C955" s="70"/>
      <c r="D955" s="70"/>
      <c r="E955" s="70"/>
    </row>
    <row r="956" spans="3:5" ht="13" x14ac:dyDescent="0.15">
      <c r="C956" s="70"/>
      <c r="D956" s="70"/>
      <c r="E956" s="70"/>
    </row>
    <row r="957" spans="3:5" ht="13" x14ac:dyDescent="0.15">
      <c r="C957" s="70"/>
      <c r="D957" s="70"/>
      <c r="E957" s="70"/>
    </row>
    <row r="958" spans="3:5" ht="13" x14ac:dyDescent="0.15">
      <c r="C958" s="70"/>
      <c r="D958" s="70"/>
      <c r="E958" s="70"/>
    </row>
    <row r="959" spans="3:5" ht="13" x14ac:dyDescent="0.15">
      <c r="C959" s="70"/>
      <c r="D959" s="70"/>
      <c r="E959" s="70"/>
    </row>
    <row r="960" spans="3:5" ht="13" x14ac:dyDescent="0.15">
      <c r="C960" s="70"/>
      <c r="D960" s="70"/>
      <c r="E960" s="70"/>
    </row>
    <row r="961" spans="3:5" ht="13" x14ac:dyDescent="0.15">
      <c r="C961" s="70"/>
      <c r="D961" s="70"/>
      <c r="E961" s="70"/>
    </row>
    <row r="962" spans="3:5" ht="13" x14ac:dyDescent="0.15">
      <c r="C962" s="70"/>
      <c r="D962" s="70"/>
      <c r="E962" s="70"/>
    </row>
    <row r="963" spans="3:5" ht="13" x14ac:dyDescent="0.15">
      <c r="C963" s="70"/>
      <c r="D963" s="70"/>
      <c r="E963" s="70"/>
    </row>
    <row r="964" spans="3:5" ht="13" x14ac:dyDescent="0.15">
      <c r="C964" s="70"/>
      <c r="D964" s="70"/>
      <c r="E964" s="70"/>
    </row>
    <row r="965" spans="3:5" ht="13" x14ac:dyDescent="0.15">
      <c r="C965" s="70"/>
      <c r="D965" s="70"/>
      <c r="E965" s="70"/>
    </row>
    <row r="966" spans="3:5" ht="13" x14ac:dyDescent="0.15">
      <c r="C966" s="70"/>
      <c r="D966" s="70"/>
      <c r="E966" s="70"/>
    </row>
    <row r="967" spans="3:5" ht="13" x14ac:dyDescent="0.15">
      <c r="C967" s="70"/>
      <c r="D967" s="70"/>
      <c r="E967" s="70"/>
    </row>
    <row r="968" spans="3:5" ht="13" x14ac:dyDescent="0.15">
      <c r="C968" s="70"/>
      <c r="D968" s="70"/>
      <c r="E968" s="70"/>
    </row>
    <row r="969" spans="3:5" ht="13" x14ac:dyDescent="0.15">
      <c r="C969" s="70"/>
      <c r="D969" s="70"/>
      <c r="E969" s="70"/>
    </row>
    <row r="970" spans="3:5" ht="13" x14ac:dyDescent="0.15">
      <c r="C970" s="70"/>
      <c r="D970" s="70"/>
      <c r="E970" s="70"/>
    </row>
    <row r="971" spans="3:5" ht="13" x14ac:dyDescent="0.15">
      <c r="C971" s="70"/>
      <c r="D971" s="70"/>
      <c r="E971" s="70"/>
    </row>
    <row r="972" spans="3:5" ht="13" x14ac:dyDescent="0.15">
      <c r="C972" s="70"/>
      <c r="D972" s="70"/>
      <c r="E972" s="70"/>
    </row>
    <row r="973" spans="3:5" ht="13" x14ac:dyDescent="0.15">
      <c r="C973" s="70"/>
      <c r="D973" s="70"/>
      <c r="E973" s="70"/>
    </row>
    <row r="974" spans="3:5" ht="13" x14ac:dyDescent="0.15">
      <c r="C974" s="70"/>
      <c r="D974" s="70"/>
      <c r="E974" s="70"/>
    </row>
    <row r="975" spans="3:5" ht="13" x14ac:dyDescent="0.15">
      <c r="C975" s="70"/>
      <c r="D975" s="70"/>
      <c r="E975" s="70"/>
    </row>
    <row r="976" spans="3:5" ht="13" x14ac:dyDescent="0.15">
      <c r="C976" s="70"/>
      <c r="D976" s="70"/>
      <c r="E976" s="70"/>
    </row>
    <row r="977" spans="3:5" ht="13" x14ac:dyDescent="0.15">
      <c r="C977" s="70"/>
      <c r="D977" s="70"/>
      <c r="E977" s="70"/>
    </row>
    <row r="978" spans="3:5" ht="13" x14ac:dyDescent="0.15">
      <c r="C978" s="70"/>
      <c r="D978" s="70"/>
      <c r="E978" s="70"/>
    </row>
    <row r="979" spans="3:5" ht="13" x14ac:dyDescent="0.15">
      <c r="C979" s="70"/>
      <c r="D979" s="70"/>
      <c r="E979" s="70"/>
    </row>
    <row r="980" spans="3:5" ht="13" x14ac:dyDescent="0.15">
      <c r="C980" s="70"/>
      <c r="D980" s="70"/>
      <c r="E980" s="70"/>
    </row>
    <row r="981" spans="3:5" ht="13" x14ac:dyDescent="0.15">
      <c r="C981" s="70"/>
      <c r="D981" s="70"/>
      <c r="E981" s="70"/>
    </row>
    <row r="982" spans="3:5" ht="13" x14ac:dyDescent="0.15">
      <c r="C982" s="70"/>
      <c r="D982" s="70"/>
      <c r="E982" s="70"/>
    </row>
    <row r="983" spans="3:5" ht="13" x14ac:dyDescent="0.15">
      <c r="C983" s="70"/>
      <c r="D983" s="70"/>
      <c r="E983" s="70"/>
    </row>
    <row r="984" spans="3:5" ht="13" x14ac:dyDescent="0.15">
      <c r="C984" s="70"/>
      <c r="D984" s="70"/>
      <c r="E984" s="70"/>
    </row>
    <row r="985" spans="3:5" ht="13" x14ac:dyDescent="0.15">
      <c r="C985" s="70"/>
      <c r="D985" s="70"/>
      <c r="E985" s="70"/>
    </row>
    <row r="986" spans="3:5" ht="13" x14ac:dyDescent="0.15">
      <c r="C986" s="70"/>
      <c r="D986" s="70"/>
      <c r="E986" s="70"/>
    </row>
    <row r="987" spans="3:5" ht="13" x14ac:dyDescent="0.15">
      <c r="C987" s="70"/>
      <c r="D987" s="70"/>
      <c r="E987" s="70"/>
    </row>
    <row r="988" spans="3:5" ht="13" x14ac:dyDescent="0.15">
      <c r="C988" s="70"/>
      <c r="D988" s="70"/>
      <c r="E988" s="70"/>
    </row>
    <row r="989" spans="3:5" ht="13" x14ac:dyDescent="0.15">
      <c r="C989" s="70"/>
      <c r="D989" s="70"/>
      <c r="E989" s="70"/>
    </row>
    <row r="990" spans="3:5" ht="13" x14ac:dyDescent="0.15">
      <c r="C990" s="70"/>
      <c r="D990" s="70"/>
      <c r="E990" s="70"/>
    </row>
    <row r="991" spans="3:5" ht="13" x14ac:dyDescent="0.15">
      <c r="C991" s="70"/>
      <c r="D991" s="70"/>
      <c r="E991" s="70"/>
    </row>
    <row r="992" spans="3:5" ht="13" x14ac:dyDescent="0.15">
      <c r="C992" s="70"/>
      <c r="D992" s="70"/>
      <c r="E992" s="70"/>
    </row>
    <row r="993" spans="3:5" ht="13" x14ac:dyDescent="0.15">
      <c r="C993" s="70"/>
      <c r="D993" s="70"/>
      <c r="E993" s="70"/>
    </row>
    <row r="994" spans="3:5" ht="13" x14ac:dyDescent="0.15">
      <c r="C994" s="70"/>
      <c r="D994" s="70"/>
      <c r="E994" s="70"/>
    </row>
    <row r="995" spans="3:5" ht="13" x14ac:dyDescent="0.15">
      <c r="C995" s="70"/>
      <c r="D995" s="70"/>
      <c r="E995" s="70"/>
    </row>
    <row r="996" spans="3:5" ht="13" x14ac:dyDescent="0.15">
      <c r="C996" s="70"/>
      <c r="D996" s="70"/>
      <c r="E996" s="70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FF"/>
    <outlinePr summaryBelow="0" summaryRight="0"/>
  </sheetPr>
  <dimension ref="A1:M67"/>
  <sheetViews>
    <sheetView workbookViewId="0"/>
  </sheetViews>
  <sheetFormatPr baseColWidth="10" defaultColWidth="12.6640625" defaultRowHeight="15.75" customHeight="1" x14ac:dyDescent="0.15"/>
  <cols>
    <col min="1" max="1" width="30.6640625" customWidth="1"/>
    <col min="2" max="2" width="45.83203125" customWidth="1"/>
  </cols>
  <sheetData>
    <row r="1" spans="1:13" ht="15.75" customHeight="1" x14ac:dyDescent="0.15">
      <c r="A1" s="40" t="s">
        <v>50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3" ht="15.75" customHeight="1" x14ac:dyDescent="0.1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</row>
    <row r="3" spans="1:13" ht="15.75" customHeight="1" x14ac:dyDescent="0.15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25"/>
      <c r="M3" s="25"/>
    </row>
    <row r="4" spans="1:13" ht="15.75" customHeight="1" x14ac:dyDescent="0.15">
      <c r="A4" s="42" t="s">
        <v>51</v>
      </c>
      <c r="B4" s="43" t="s">
        <v>52</v>
      </c>
      <c r="C4" s="43" t="s">
        <v>53</v>
      </c>
      <c r="D4" s="43" t="s">
        <v>54</v>
      </c>
      <c r="E4" s="43" t="s">
        <v>55</v>
      </c>
      <c r="F4" s="43" t="s">
        <v>56</v>
      </c>
      <c r="G4" s="43" t="s">
        <v>57</v>
      </c>
      <c r="H4" s="43" t="s">
        <v>58</v>
      </c>
      <c r="I4" s="43" t="s">
        <v>59</v>
      </c>
      <c r="J4" s="43" t="s">
        <v>60</v>
      </c>
      <c r="K4" s="43" t="s">
        <v>61</v>
      </c>
      <c r="L4" s="40" t="s">
        <v>62</v>
      </c>
      <c r="M4" s="40" t="s">
        <v>63</v>
      </c>
    </row>
    <row r="5" spans="1:13" ht="15.75" customHeight="1" x14ac:dyDescent="0.15">
      <c r="A5" s="13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</row>
    <row r="6" spans="1:13" ht="15.75" customHeight="1" x14ac:dyDescent="0.15">
      <c r="A6" s="13"/>
      <c r="B6" s="44" t="s">
        <v>64</v>
      </c>
      <c r="C6" s="45">
        <v>4</v>
      </c>
      <c r="D6" s="46" t="s">
        <v>65</v>
      </c>
      <c r="E6" s="45" t="s">
        <v>66</v>
      </c>
      <c r="F6" s="45" t="s">
        <v>37</v>
      </c>
      <c r="G6" s="45">
        <v>10</v>
      </c>
      <c r="H6" s="44">
        <v>26</v>
      </c>
      <c r="I6" s="47">
        <v>26</v>
      </c>
      <c r="J6" s="48">
        <v>30</v>
      </c>
      <c r="K6" s="48">
        <v>30</v>
      </c>
      <c r="L6" s="47">
        <v>30</v>
      </c>
      <c r="M6" s="48">
        <v>32</v>
      </c>
    </row>
    <row r="7" spans="1:13" ht="15.75" customHeight="1" x14ac:dyDescent="0.15">
      <c r="A7" s="13"/>
      <c r="B7" s="44" t="s">
        <v>67</v>
      </c>
      <c r="C7" s="45">
        <v>3</v>
      </c>
      <c r="D7" s="46">
        <v>40461</v>
      </c>
      <c r="E7" s="45" t="s">
        <v>68</v>
      </c>
      <c r="F7" s="45" t="s">
        <v>37</v>
      </c>
      <c r="G7" s="45">
        <v>10</v>
      </c>
      <c r="H7" s="44">
        <v>24</v>
      </c>
      <c r="I7" s="47">
        <v>24</v>
      </c>
      <c r="J7" s="47">
        <v>26</v>
      </c>
      <c r="K7" s="49">
        <v>26</v>
      </c>
      <c r="L7" s="47">
        <v>28</v>
      </c>
      <c r="M7" s="47">
        <v>28</v>
      </c>
    </row>
    <row r="8" spans="1:13" ht="15.75" customHeight="1" x14ac:dyDescent="0.15">
      <c r="A8" s="13"/>
      <c r="B8" s="44" t="s">
        <v>69</v>
      </c>
      <c r="C8" s="45">
        <v>3</v>
      </c>
      <c r="D8" s="46">
        <v>41255</v>
      </c>
      <c r="E8" s="45" t="s">
        <v>66</v>
      </c>
      <c r="F8" s="45" t="s">
        <v>37</v>
      </c>
      <c r="G8" s="45">
        <v>10</v>
      </c>
      <c r="H8" s="44">
        <v>20</v>
      </c>
      <c r="I8" s="47">
        <v>20</v>
      </c>
      <c r="J8" s="47">
        <v>22</v>
      </c>
      <c r="K8" s="48">
        <v>24</v>
      </c>
      <c r="L8" s="47">
        <v>24</v>
      </c>
      <c r="M8" s="47">
        <v>24</v>
      </c>
    </row>
    <row r="9" spans="1:13" ht="15.75" customHeight="1" x14ac:dyDescent="0.15">
      <c r="A9" s="13"/>
      <c r="B9" s="44" t="s">
        <v>70</v>
      </c>
      <c r="C9" s="45">
        <v>3</v>
      </c>
      <c r="D9" s="45" t="s">
        <v>71</v>
      </c>
      <c r="E9" s="45" t="s">
        <v>72</v>
      </c>
      <c r="F9" s="45" t="s">
        <v>37</v>
      </c>
      <c r="G9" s="45">
        <v>10</v>
      </c>
      <c r="H9" s="44">
        <v>10</v>
      </c>
      <c r="I9" s="47">
        <v>10</v>
      </c>
      <c r="J9" s="48">
        <v>15</v>
      </c>
      <c r="K9" s="48">
        <v>15</v>
      </c>
      <c r="L9" s="47">
        <v>1560</v>
      </c>
      <c r="M9" s="47">
        <v>16</v>
      </c>
    </row>
    <row r="10" spans="1:13" ht="15.75" customHeight="1" x14ac:dyDescent="0.15">
      <c r="A10" s="13"/>
      <c r="B10" s="44" t="s">
        <v>73</v>
      </c>
      <c r="C10" s="45">
        <v>4</v>
      </c>
      <c r="D10" s="46" t="s">
        <v>65</v>
      </c>
      <c r="E10" s="45" t="s">
        <v>66</v>
      </c>
      <c r="F10" s="45" t="s">
        <v>37</v>
      </c>
      <c r="G10" s="45">
        <v>10</v>
      </c>
      <c r="H10" s="44">
        <v>50</v>
      </c>
      <c r="I10" s="47">
        <v>50</v>
      </c>
      <c r="J10" s="48">
        <v>55</v>
      </c>
      <c r="K10" s="47">
        <v>55</v>
      </c>
      <c r="L10" s="48">
        <v>60</v>
      </c>
      <c r="M10" s="47">
        <v>60</v>
      </c>
    </row>
    <row r="11" spans="1:13" ht="15.75" customHeight="1" x14ac:dyDescent="0.15">
      <c r="A11" s="13"/>
      <c r="B11" s="44" t="s">
        <v>74</v>
      </c>
      <c r="C11" s="45">
        <v>3</v>
      </c>
      <c r="D11" s="46">
        <v>40461</v>
      </c>
      <c r="E11" s="45" t="s">
        <v>68</v>
      </c>
      <c r="F11" s="45" t="s">
        <v>37</v>
      </c>
      <c r="G11" s="45">
        <v>10</v>
      </c>
      <c r="H11" s="44">
        <v>55</v>
      </c>
      <c r="I11" s="48">
        <v>55</v>
      </c>
      <c r="J11" s="47">
        <v>55</v>
      </c>
      <c r="K11" s="48">
        <v>60</v>
      </c>
      <c r="L11" s="47">
        <v>60</v>
      </c>
      <c r="M11" s="48">
        <v>65</v>
      </c>
    </row>
    <row r="12" spans="1:13" ht="15.75" customHeight="1" x14ac:dyDescent="0.15">
      <c r="A12" s="13"/>
      <c r="B12" s="44" t="s">
        <v>75</v>
      </c>
      <c r="C12" s="45">
        <v>3</v>
      </c>
      <c r="D12" s="46">
        <v>41255</v>
      </c>
      <c r="E12" s="45" t="s">
        <v>66</v>
      </c>
      <c r="F12" s="45" t="s">
        <v>37</v>
      </c>
      <c r="G12" s="45">
        <v>10</v>
      </c>
      <c r="H12" s="44">
        <v>20</v>
      </c>
      <c r="I12" s="47">
        <v>20</v>
      </c>
      <c r="J12" s="47">
        <v>24</v>
      </c>
      <c r="K12" s="48">
        <v>26</v>
      </c>
      <c r="L12" s="47">
        <v>28</v>
      </c>
      <c r="M12" s="48">
        <v>30</v>
      </c>
    </row>
    <row r="13" spans="1:13" ht="15.75" customHeight="1" x14ac:dyDescent="0.1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</row>
    <row r="14" spans="1:13" ht="15.75" customHeight="1" x14ac:dyDescent="0.1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</row>
    <row r="15" spans="1:13" ht="15.75" customHeight="1" x14ac:dyDescent="0.15">
      <c r="A15" s="40" t="s">
        <v>76</v>
      </c>
      <c r="B15" s="50" t="s">
        <v>52</v>
      </c>
      <c r="C15" s="50" t="s">
        <v>53</v>
      </c>
      <c r="D15" s="51" t="s">
        <v>54</v>
      </c>
      <c r="E15" s="50" t="s">
        <v>55</v>
      </c>
      <c r="F15" s="50" t="s">
        <v>56</v>
      </c>
      <c r="G15" s="50" t="s">
        <v>57</v>
      </c>
      <c r="H15" s="50" t="s">
        <v>58</v>
      </c>
      <c r="I15" s="50" t="s">
        <v>59</v>
      </c>
      <c r="J15" s="50" t="s">
        <v>60</v>
      </c>
      <c r="K15" s="50" t="s">
        <v>61</v>
      </c>
      <c r="L15" s="40" t="s">
        <v>62</v>
      </c>
      <c r="M15" s="40" t="s">
        <v>63</v>
      </c>
    </row>
    <row r="16" spans="1:13" ht="15.75" customHeight="1" x14ac:dyDescent="0.15">
      <c r="A16" s="13"/>
      <c r="B16" s="44"/>
      <c r="C16" s="44"/>
      <c r="D16" s="52"/>
      <c r="E16" s="44"/>
      <c r="F16" s="44"/>
      <c r="G16" s="44"/>
      <c r="H16" s="44"/>
      <c r="I16" s="53"/>
      <c r="J16" s="44"/>
      <c r="K16" s="44"/>
      <c r="L16" s="44"/>
      <c r="M16" s="44"/>
    </row>
    <row r="17" spans="1:13" ht="15.75" customHeight="1" x14ac:dyDescent="0.15">
      <c r="A17" s="13"/>
      <c r="B17" s="44" t="s">
        <v>77</v>
      </c>
      <c r="C17" s="45">
        <v>4</v>
      </c>
      <c r="D17" s="45" t="s">
        <v>65</v>
      </c>
      <c r="E17" s="45" t="s">
        <v>66</v>
      </c>
      <c r="F17" s="45" t="s">
        <v>37</v>
      </c>
      <c r="G17" s="45">
        <v>10</v>
      </c>
      <c r="H17" s="44">
        <v>40</v>
      </c>
      <c r="I17" s="47">
        <v>40</v>
      </c>
      <c r="J17" s="48">
        <v>45</v>
      </c>
      <c r="K17" s="47">
        <v>45</v>
      </c>
      <c r="L17" s="48">
        <v>47.5</v>
      </c>
      <c r="M17" s="47">
        <v>47.5</v>
      </c>
    </row>
    <row r="18" spans="1:13" ht="15.75" customHeight="1" x14ac:dyDescent="0.15">
      <c r="A18" s="13"/>
      <c r="B18" s="44" t="s">
        <v>78</v>
      </c>
      <c r="C18" s="45">
        <v>3</v>
      </c>
      <c r="D18" s="46">
        <v>40461</v>
      </c>
      <c r="E18" s="45" t="s">
        <v>68</v>
      </c>
      <c r="F18" s="45" t="s">
        <v>37</v>
      </c>
      <c r="G18" s="45">
        <v>10</v>
      </c>
      <c r="H18" s="44">
        <v>18</v>
      </c>
      <c r="I18" s="47">
        <v>18</v>
      </c>
      <c r="J18" s="47">
        <v>20</v>
      </c>
      <c r="K18" s="48">
        <v>22</v>
      </c>
      <c r="L18" s="47">
        <v>22</v>
      </c>
      <c r="M18" s="47">
        <v>24</v>
      </c>
    </row>
    <row r="19" spans="1:13" ht="15.75" customHeight="1" x14ac:dyDescent="0.15">
      <c r="A19" s="13"/>
      <c r="B19" s="44" t="s">
        <v>79</v>
      </c>
      <c r="C19" s="45">
        <v>3</v>
      </c>
      <c r="D19" s="46">
        <v>41255</v>
      </c>
      <c r="E19" s="45" t="s">
        <v>66</v>
      </c>
      <c r="F19" s="45" t="s">
        <v>37</v>
      </c>
      <c r="G19" s="45">
        <v>10</v>
      </c>
      <c r="H19" s="44">
        <v>12</v>
      </c>
      <c r="I19" s="47">
        <v>12</v>
      </c>
      <c r="J19" s="47">
        <v>14</v>
      </c>
      <c r="K19" s="47">
        <v>14</v>
      </c>
      <c r="L19" s="48">
        <v>16</v>
      </c>
      <c r="M19" s="48">
        <v>16</v>
      </c>
    </row>
    <row r="20" spans="1:13" ht="15.75" customHeight="1" x14ac:dyDescent="0.15">
      <c r="A20" s="13"/>
      <c r="B20" s="44" t="s">
        <v>80</v>
      </c>
      <c r="C20" s="45">
        <v>4</v>
      </c>
      <c r="D20" s="45" t="s">
        <v>81</v>
      </c>
      <c r="E20" s="45" t="s">
        <v>68</v>
      </c>
      <c r="F20" s="45" t="s">
        <v>37</v>
      </c>
      <c r="G20" s="45">
        <v>10</v>
      </c>
      <c r="H20" s="44">
        <v>0</v>
      </c>
      <c r="I20" s="47">
        <v>0</v>
      </c>
      <c r="J20" s="47">
        <v>0</v>
      </c>
      <c r="K20" s="47">
        <v>0</v>
      </c>
      <c r="L20" s="47" t="s">
        <v>82</v>
      </c>
      <c r="M20" s="47">
        <v>55</v>
      </c>
    </row>
    <row r="21" spans="1:13" ht="15.75" customHeight="1" x14ac:dyDescent="0.15">
      <c r="A21" s="13"/>
      <c r="B21" s="44" t="s">
        <v>83</v>
      </c>
      <c r="C21" s="45">
        <v>4</v>
      </c>
      <c r="D21" s="45" t="s">
        <v>65</v>
      </c>
      <c r="E21" s="45" t="s">
        <v>66</v>
      </c>
      <c r="F21" s="45" t="s">
        <v>37</v>
      </c>
      <c r="G21" s="45">
        <v>10</v>
      </c>
      <c r="H21" s="44">
        <v>12</v>
      </c>
      <c r="I21" s="47">
        <v>12</v>
      </c>
      <c r="J21" s="48">
        <v>14</v>
      </c>
      <c r="K21" s="48">
        <v>14</v>
      </c>
      <c r="L21" s="47">
        <v>14</v>
      </c>
      <c r="M21" s="48">
        <v>16</v>
      </c>
    </row>
    <row r="22" spans="1:13" ht="15.75" customHeight="1" x14ac:dyDescent="0.15">
      <c r="A22" s="13"/>
      <c r="B22" s="44" t="s">
        <v>84</v>
      </c>
      <c r="C22" s="45">
        <v>4</v>
      </c>
      <c r="D22" s="45" t="s">
        <v>81</v>
      </c>
      <c r="E22" s="45" t="s">
        <v>68</v>
      </c>
      <c r="F22" s="45" t="s">
        <v>37</v>
      </c>
      <c r="G22" s="45">
        <v>10</v>
      </c>
      <c r="H22" s="45">
        <v>20</v>
      </c>
      <c r="I22" s="47">
        <v>20</v>
      </c>
      <c r="J22" s="47">
        <v>30</v>
      </c>
      <c r="K22" s="47">
        <v>32.5</v>
      </c>
      <c r="L22" s="48">
        <v>35</v>
      </c>
      <c r="M22" s="44">
        <v>35</v>
      </c>
    </row>
    <row r="23" spans="1:13" ht="15.75" customHeight="1" x14ac:dyDescent="0.15">
      <c r="A23" s="13"/>
      <c r="B23" s="44" t="s">
        <v>85</v>
      </c>
      <c r="C23" s="45">
        <v>4</v>
      </c>
      <c r="D23" s="45" t="s">
        <v>65</v>
      </c>
      <c r="E23" s="45" t="s">
        <v>66</v>
      </c>
      <c r="F23" s="45" t="s">
        <v>37</v>
      </c>
      <c r="G23" s="45">
        <v>10</v>
      </c>
      <c r="H23" s="45">
        <v>7.5</v>
      </c>
      <c r="I23" s="47">
        <v>7.5</v>
      </c>
      <c r="J23" s="47">
        <v>10</v>
      </c>
      <c r="K23" s="47">
        <v>10</v>
      </c>
      <c r="L23" s="47">
        <v>11</v>
      </c>
      <c r="M23" s="44">
        <v>12</v>
      </c>
    </row>
    <row r="24" spans="1:13" ht="15.75" customHeight="1" x14ac:dyDescent="0.15">
      <c r="A24" s="34"/>
      <c r="B24" s="25"/>
      <c r="C24" s="25"/>
      <c r="D24" s="54"/>
      <c r="E24" s="25"/>
      <c r="F24" s="25"/>
      <c r="G24" s="25"/>
      <c r="H24" s="25"/>
      <c r="I24" s="25"/>
      <c r="J24" s="25"/>
      <c r="K24" s="25"/>
      <c r="L24" s="25"/>
      <c r="M24" s="25"/>
    </row>
    <row r="25" spans="1:13" ht="15.75" customHeight="1" x14ac:dyDescent="0.15">
      <c r="A25" s="25"/>
      <c r="B25" s="25"/>
      <c r="C25" s="25"/>
      <c r="D25" s="54"/>
      <c r="E25" s="25"/>
      <c r="F25" s="25"/>
      <c r="G25" s="25"/>
      <c r="H25" s="25"/>
      <c r="I25" s="25"/>
      <c r="J25" s="25"/>
      <c r="K25" s="25"/>
      <c r="L25" s="25"/>
      <c r="M25" s="25"/>
    </row>
    <row r="26" spans="1:13" ht="15.75" customHeight="1" x14ac:dyDescent="0.15">
      <c r="A26" s="40" t="s">
        <v>86</v>
      </c>
      <c r="B26" s="50" t="s">
        <v>52</v>
      </c>
      <c r="C26" s="50" t="s">
        <v>53</v>
      </c>
      <c r="D26" s="51" t="s">
        <v>54</v>
      </c>
      <c r="E26" s="50" t="s">
        <v>55</v>
      </c>
      <c r="F26" s="50" t="s">
        <v>56</v>
      </c>
      <c r="G26" s="50" t="s">
        <v>57</v>
      </c>
      <c r="H26" s="50" t="s">
        <v>58</v>
      </c>
      <c r="I26" s="50" t="s">
        <v>59</v>
      </c>
      <c r="J26" s="50" t="s">
        <v>60</v>
      </c>
      <c r="K26" s="50" t="s">
        <v>61</v>
      </c>
      <c r="L26" s="40" t="s">
        <v>62</v>
      </c>
      <c r="M26" s="40" t="s">
        <v>63</v>
      </c>
    </row>
    <row r="27" spans="1:13" ht="15.75" customHeight="1" x14ac:dyDescent="0.15">
      <c r="A27" s="55"/>
      <c r="B27" s="44"/>
      <c r="C27" s="44"/>
      <c r="D27" s="52"/>
      <c r="E27" s="44"/>
      <c r="F27" s="44"/>
      <c r="G27" s="44"/>
      <c r="H27" s="44"/>
      <c r="I27" s="44"/>
      <c r="J27" s="44"/>
      <c r="K27" s="44"/>
      <c r="L27" s="44"/>
      <c r="M27" s="44"/>
    </row>
    <row r="28" spans="1:13" ht="15.75" customHeight="1" x14ac:dyDescent="0.15">
      <c r="A28" s="55"/>
      <c r="B28" s="44" t="s">
        <v>87</v>
      </c>
      <c r="C28" s="45">
        <v>4</v>
      </c>
      <c r="D28" s="45" t="s">
        <v>65</v>
      </c>
      <c r="E28" s="45" t="s">
        <v>66</v>
      </c>
      <c r="F28" s="45" t="s">
        <v>37</v>
      </c>
      <c r="G28" s="45">
        <v>10</v>
      </c>
      <c r="H28" s="53">
        <v>140</v>
      </c>
      <c r="I28" s="47">
        <v>140</v>
      </c>
      <c r="J28" s="48">
        <v>145</v>
      </c>
      <c r="K28" s="47">
        <v>145</v>
      </c>
      <c r="L28" s="47">
        <v>145</v>
      </c>
      <c r="M28" s="47">
        <v>145</v>
      </c>
    </row>
    <row r="29" spans="1:13" ht="15.75" customHeight="1" x14ac:dyDescent="0.15">
      <c r="A29" s="55"/>
      <c r="B29" s="44" t="s">
        <v>88</v>
      </c>
      <c r="C29" s="45">
        <v>3</v>
      </c>
      <c r="D29" s="46">
        <v>40461</v>
      </c>
      <c r="E29" s="45" t="s">
        <v>68</v>
      </c>
      <c r="F29" s="45" t="s">
        <v>37</v>
      </c>
      <c r="G29" s="56">
        <v>10</v>
      </c>
      <c r="H29" s="53">
        <v>10</v>
      </c>
      <c r="I29" s="47">
        <v>10</v>
      </c>
      <c r="J29" s="47">
        <v>12</v>
      </c>
      <c r="K29" s="47">
        <v>14</v>
      </c>
      <c r="L29" s="47">
        <v>16</v>
      </c>
      <c r="M29" s="47">
        <v>18</v>
      </c>
    </row>
    <row r="30" spans="1:13" ht="15.75" customHeight="1" x14ac:dyDescent="0.15">
      <c r="A30" s="55"/>
      <c r="B30" s="44" t="s">
        <v>89</v>
      </c>
      <c r="C30" s="45">
        <v>3</v>
      </c>
      <c r="D30" s="46">
        <v>41255</v>
      </c>
      <c r="E30" s="45" t="s">
        <v>66</v>
      </c>
      <c r="F30" s="45" t="s">
        <v>37</v>
      </c>
      <c r="G30" s="56">
        <v>10</v>
      </c>
      <c r="H30" s="53">
        <v>47.5</v>
      </c>
      <c r="I30" s="47">
        <v>47.5</v>
      </c>
      <c r="J30" s="48">
        <v>50</v>
      </c>
      <c r="K30" s="47">
        <v>50</v>
      </c>
      <c r="L30" s="48">
        <v>52.5</v>
      </c>
      <c r="M30" s="47">
        <v>52.5</v>
      </c>
    </row>
    <row r="31" spans="1:13" ht="15.75" customHeight="1" x14ac:dyDescent="0.15">
      <c r="A31" s="55"/>
      <c r="B31" s="44" t="s">
        <v>91</v>
      </c>
      <c r="C31" s="45">
        <v>3</v>
      </c>
      <c r="D31" s="46">
        <v>40461</v>
      </c>
      <c r="E31" s="45" t="s">
        <v>68</v>
      </c>
      <c r="F31" s="45" t="s">
        <v>37</v>
      </c>
      <c r="G31" s="56">
        <v>10</v>
      </c>
      <c r="H31" s="53">
        <v>10</v>
      </c>
      <c r="I31" s="47">
        <v>10</v>
      </c>
      <c r="J31" s="47">
        <v>26</v>
      </c>
      <c r="K31" s="47">
        <v>28</v>
      </c>
      <c r="L31" s="48">
        <v>30</v>
      </c>
      <c r="M31" s="47">
        <v>30</v>
      </c>
    </row>
    <row r="32" spans="1:13" ht="15.75" customHeight="1" x14ac:dyDescent="0.15">
      <c r="A32" s="55"/>
      <c r="B32" s="44" t="s">
        <v>92</v>
      </c>
      <c r="C32" s="45">
        <v>3</v>
      </c>
      <c r="D32" s="46">
        <v>41255</v>
      </c>
      <c r="E32" s="45" t="s">
        <v>66</v>
      </c>
      <c r="F32" s="45" t="s">
        <v>37</v>
      </c>
      <c r="G32" s="56">
        <v>10</v>
      </c>
      <c r="H32" s="53">
        <v>40</v>
      </c>
      <c r="I32" s="47">
        <v>40</v>
      </c>
      <c r="J32" s="48">
        <v>42.5</v>
      </c>
      <c r="K32" s="47">
        <v>42.5</v>
      </c>
      <c r="L32" s="44" t="s">
        <v>93</v>
      </c>
      <c r="M32" s="47">
        <v>37.5</v>
      </c>
    </row>
    <row r="33" spans="1:13" ht="15.75" customHeight="1" x14ac:dyDescent="0.15">
      <c r="A33" s="55"/>
      <c r="B33" s="44" t="s">
        <v>94</v>
      </c>
      <c r="C33" s="45">
        <v>4</v>
      </c>
      <c r="D33" s="45" t="s">
        <v>65</v>
      </c>
      <c r="E33" s="45" t="s">
        <v>72</v>
      </c>
      <c r="F33" s="45" t="s">
        <v>37</v>
      </c>
      <c r="G33" s="56">
        <v>10</v>
      </c>
      <c r="H33" s="53">
        <v>40</v>
      </c>
      <c r="I33" s="47">
        <v>40</v>
      </c>
      <c r="J33" s="47">
        <v>65</v>
      </c>
      <c r="K33" s="47">
        <v>85</v>
      </c>
      <c r="L33" s="47">
        <v>90</v>
      </c>
      <c r="M33" s="47">
        <v>100</v>
      </c>
    </row>
    <row r="34" spans="1:13" ht="15.75" customHeight="1" x14ac:dyDescent="0.15">
      <c r="A34" s="55"/>
      <c r="B34" s="44" t="s">
        <v>95</v>
      </c>
      <c r="C34" s="45">
        <v>4</v>
      </c>
      <c r="D34" s="45" t="s">
        <v>65</v>
      </c>
      <c r="E34" s="45" t="s">
        <v>72</v>
      </c>
      <c r="F34" s="45" t="s">
        <v>37</v>
      </c>
      <c r="G34" s="56">
        <v>10</v>
      </c>
      <c r="H34" s="53">
        <v>0</v>
      </c>
      <c r="I34" s="47">
        <v>0</v>
      </c>
      <c r="J34" s="47">
        <v>0</v>
      </c>
      <c r="K34" s="47">
        <v>0</v>
      </c>
      <c r="L34" s="47"/>
      <c r="M34" s="47"/>
    </row>
    <row r="35" spans="1:13" ht="15.75" customHeight="1" x14ac:dyDescent="0.1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</row>
    <row r="36" spans="1:13" ht="15.75" customHeight="1" x14ac:dyDescent="0.15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</row>
    <row r="37" spans="1:13" ht="15.75" customHeight="1" x14ac:dyDescent="0.15">
      <c r="A37" s="40" t="s">
        <v>96</v>
      </c>
      <c r="B37" s="40" t="s">
        <v>52</v>
      </c>
      <c r="C37" s="40" t="s">
        <v>53</v>
      </c>
      <c r="D37" s="40" t="s">
        <v>54</v>
      </c>
      <c r="E37" s="40" t="s">
        <v>55</v>
      </c>
      <c r="F37" s="40" t="s">
        <v>56</v>
      </c>
      <c r="G37" s="40" t="s">
        <v>57</v>
      </c>
      <c r="H37" s="40" t="s">
        <v>58</v>
      </c>
      <c r="I37" s="40" t="s">
        <v>59</v>
      </c>
      <c r="J37" s="40" t="s">
        <v>60</v>
      </c>
      <c r="K37" s="40" t="s">
        <v>61</v>
      </c>
      <c r="L37" s="40" t="s">
        <v>62</v>
      </c>
      <c r="M37" s="40" t="s">
        <v>63</v>
      </c>
    </row>
    <row r="38" spans="1:13" ht="15.75" customHeight="1" x14ac:dyDescent="0.15">
      <c r="A38" s="13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</row>
    <row r="39" spans="1:13" ht="15.75" customHeight="1" x14ac:dyDescent="0.15">
      <c r="A39" s="13"/>
      <c r="B39" s="44" t="s">
        <v>64</v>
      </c>
      <c r="C39" s="45">
        <v>4</v>
      </c>
      <c r="D39" s="45" t="s">
        <v>97</v>
      </c>
      <c r="E39" s="45" t="s">
        <v>66</v>
      </c>
      <c r="F39" s="45" t="s">
        <v>37</v>
      </c>
      <c r="G39" s="45">
        <v>10</v>
      </c>
      <c r="H39" s="61">
        <v>26</v>
      </c>
      <c r="I39" s="47">
        <v>24</v>
      </c>
      <c r="J39" s="48">
        <v>26</v>
      </c>
      <c r="K39" s="47">
        <v>26</v>
      </c>
      <c r="L39" s="48">
        <v>28</v>
      </c>
      <c r="M39" s="47">
        <v>28</v>
      </c>
    </row>
    <row r="40" spans="1:13" ht="15.75" customHeight="1" x14ac:dyDescent="0.15">
      <c r="A40" s="13"/>
      <c r="B40" s="44" t="s">
        <v>67</v>
      </c>
      <c r="C40" s="45">
        <v>3</v>
      </c>
      <c r="D40" s="46">
        <v>41255</v>
      </c>
      <c r="E40" s="45" t="s">
        <v>68</v>
      </c>
      <c r="F40" s="45" t="s">
        <v>37</v>
      </c>
      <c r="G40" s="45">
        <v>10</v>
      </c>
      <c r="H40" s="44">
        <v>24</v>
      </c>
      <c r="I40" s="47">
        <v>22</v>
      </c>
      <c r="J40" s="48">
        <v>24</v>
      </c>
      <c r="K40" s="47">
        <v>24</v>
      </c>
      <c r="L40" s="47">
        <v>26</v>
      </c>
      <c r="M40" s="47">
        <v>26</v>
      </c>
    </row>
    <row r="41" spans="1:13" ht="15.75" customHeight="1" x14ac:dyDescent="0.15">
      <c r="A41" s="13"/>
      <c r="B41" s="44" t="s">
        <v>69</v>
      </c>
      <c r="C41" s="45">
        <v>3</v>
      </c>
      <c r="D41" s="45" t="s">
        <v>71</v>
      </c>
      <c r="E41" s="45" t="s">
        <v>66</v>
      </c>
      <c r="F41" s="45" t="s">
        <v>37</v>
      </c>
      <c r="G41" s="45">
        <v>10</v>
      </c>
      <c r="H41" s="44">
        <v>20</v>
      </c>
      <c r="I41" s="47">
        <v>18</v>
      </c>
      <c r="J41" s="47">
        <v>20</v>
      </c>
      <c r="K41" s="47">
        <v>22</v>
      </c>
      <c r="L41" s="47">
        <v>22</v>
      </c>
      <c r="M41" s="47">
        <v>22</v>
      </c>
    </row>
    <row r="42" spans="1:13" ht="15.75" customHeight="1" x14ac:dyDescent="0.15">
      <c r="A42" s="13"/>
      <c r="B42" s="44" t="s">
        <v>99</v>
      </c>
      <c r="C42" s="45">
        <v>4</v>
      </c>
      <c r="D42" s="45" t="s">
        <v>97</v>
      </c>
      <c r="E42" s="45" t="s">
        <v>66</v>
      </c>
      <c r="F42" s="45" t="s">
        <v>37</v>
      </c>
      <c r="G42" s="45">
        <v>10</v>
      </c>
      <c r="H42" s="44">
        <v>50</v>
      </c>
      <c r="I42" s="47">
        <v>45</v>
      </c>
      <c r="J42" s="47">
        <v>50</v>
      </c>
      <c r="K42" s="48">
        <v>55</v>
      </c>
      <c r="L42" s="47">
        <v>55</v>
      </c>
      <c r="M42" s="48">
        <v>60</v>
      </c>
    </row>
    <row r="43" spans="1:13" ht="15.75" customHeight="1" x14ac:dyDescent="0.15">
      <c r="A43" s="13"/>
      <c r="B43" s="44" t="s">
        <v>101</v>
      </c>
      <c r="C43" s="45">
        <v>3</v>
      </c>
      <c r="D43" s="46">
        <v>41255</v>
      </c>
      <c r="E43" s="45" t="s">
        <v>68</v>
      </c>
      <c r="F43" s="45" t="s">
        <v>37</v>
      </c>
      <c r="G43" s="45">
        <v>10</v>
      </c>
      <c r="H43" s="44">
        <v>55</v>
      </c>
      <c r="I43" s="47">
        <v>50</v>
      </c>
      <c r="J43" s="47">
        <v>55</v>
      </c>
      <c r="K43" s="48">
        <v>60</v>
      </c>
      <c r="L43" s="47">
        <v>60</v>
      </c>
      <c r="M43" s="47">
        <v>60</v>
      </c>
    </row>
    <row r="44" spans="1:13" ht="15.75" customHeight="1" x14ac:dyDescent="0.15">
      <c r="A44" s="13"/>
      <c r="B44" s="44" t="s">
        <v>104</v>
      </c>
      <c r="C44" s="45">
        <v>3</v>
      </c>
      <c r="D44" s="45" t="s">
        <v>71</v>
      </c>
      <c r="E44" s="45" t="s">
        <v>66</v>
      </c>
      <c r="F44" s="45" t="s">
        <v>37</v>
      </c>
      <c r="G44" s="45">
        <v>10</v>
      </c>
      <c r="H44" s="44">
        <v>20</v>
      </c>
      <c r="I44" s="47">
        <v>20</v>
      </c>
      <c r="J44" s="47">
        <v>22</v>
      </c>
      <c r="K44" s="47">
        <v>24</v>
      </c>
      <c r="L44" s="47">
        <v>26</v>
      </c>
      <c r="M44" s="48">
        <v>28</v>
      </c>
    </row>
    <row r="45" spans="1:13" ht="15.75" customHeight="1" x14ac:dyDescent="0.15">
      <c r="A45" s="13"/>
      <c r="B45" s="44" t="s">
        <v>106</v>
      </c>
      <c r="C45" s="45">
        <v>3</v>
      </c>
      <c r="D45" s="45" t="s">
        <v>71</v>
      </c>
      <c r="E45" s="45" t="s">
        <v>66</v>
      </c>
      <c r="F45" s="45" t="s">
        <v>37</v>
      </c>
      <c r="G45" s="45">
        <v>10</v>
      </c>
      <c r="H45" s="44">
        <v>10</v>
      </c>
      <c r="I45" s="47">
        <v>10</v>
      </c>
      <c r="J45" s="47">
        <v>15</v>
      </c>
      <c r="K45" s="44">
        <v>20</v>
      </c>
      <c r="L45" s="44">
        <v>22</v>
      </c>
      <c r="M45" s="44"/>
    </row>
    <row r="46" spans="1:13" ht="13" x14ac:dyDescent="0.15">
      <c r="A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</row>
    <row r="47" spans="1:13" ht="13" x14ac:dyDescent="0.1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</row>
    <row r="48" spans="1:13" ht="13" x14ac:dyDescent="0.15">
      <c r="A48" s="40" t="s">
        <v>113</v>
      </c>
      <c r="B48" s="50" t="s">
        <v>52</v>
      </c>
      <c r="C48" s="50" t="s">
        <v>53</v>
      </c>
      <c r="D48" s="51" t="s">
        <v>54</v>
      </c>
      <c r="E48" s="50" t="s">
        <v>55</v>
      </c>
      <c r="F48" s="50" t="s">
        <v>56</v>
      </c>
      <c r="G48" s="50" t="s">
        <v>57</v>
      </c>
      <c r="H48" s="50" t="s">
        <v>58</v>
      </c>
      <c r="I48" s="50" t="s">
        <v>59</v>
      </c>
      <c r="J48" s="50" t="s">
        <v>60</v>
      </c>
      <c r="K48" s="50" t="s">
        <v>61</v>
      </c>
      <c r="L48" s="40" t="s">
        <v>62</v>
      </c>
      <c r="M48" s="40" t="s">
        <v>63</v>
      </c>
    </row>
    <row r="49" spans="1:13" ht="13" x14ac:dyDescent="0.15">
      <c r="A49" s="13"/>
      <c r="B49" s="44"/>
      <c r="C49" s="44"/>
      <c r="D49" s="52"/>
      <c r="E49" s="44"/>
      <c r="F49" s="44"/>
      <c r="G49" s="44"/>
      <c r="H49" s="44"/>
      <c r="I49" s="44"/>
      <c r="J49" s="44"/>
      <c r="K49" s="44"/>
      <c r="L49" s="44"/>
      <c r="M49" s="44"/>
    </row>
    <row r="50" spans="1:13" ht="13" x14ac:dyDescent="0.15">
      <c r="A50" s="13"/>
      <c r="B50" s="44" t="s">
        <v>77</v>
      </c>
      <c r="C50" s="45">
        <v>4</v>
      </c>
      <c r="D50" s="45" t="s">
        <v>97</v>
      </c>
      <c r="E50" s="45" t="s">
        <v>66</v>
      </c>
      <c r="F50" s="45" t="s">
        <v>37</v>
      </c>
      <c r="G50" s="45">
        <v>10</v>
      </c>
      <c r="H50" s="44">
        <v>35</v>
      </c>
      <c r="I50" s="47">
        <v>35</v>
      </c>
      <c r="J50" s="47">
        <v>37.5</v>
      </c>
      <c r="K50" s="47">
        <v>40</v>
      </c>
      <c r="L50" s="48">
        <v>42.5</v>
      </c>
      <c r="M50" s="47">
        <v>42.5</v>
      </c>
    </row>
    <row r="51" spans="1:13" ht="13" x14ac:dyDescent="0.15">
      <c r="A51" s="13"/>
      <c r="B51" s="44" t="s">
        <v>78</v>
      </c>
      <c r="C51" s="45">
        <v>3</v>
      </c>
      <c r="D51" s="46">
        <v>41255</v>
      </c>
      <c r="E51" s="45" t="s">
        <v>68</v>
      </c>
      <c r="F51" s="45" t="s">
        <v>37</v>
      </c>
      <c r="G51" s="45">
        <v>10</v>
      </c>
      <c r="H51" s="44">
        <v>16</v>
      </c>
      <c r="I51" s="47">
        <v>16</v>
      </c>
      <c r="J51" s="47">
        <v>18</v>
      </c>
      <c r="K51" s="48">
        <v>20</v>
      </c>
      <c r="L51" s="47">
        <v>20</v>
      </c>
      <c r="M51" s="47">
        <v>22</v>
      </c>
    </row>
    <row r="52" spans="1:13" ht="13" x14ac:dyDescent="0.15">
      <c r="A52" s="13"/>
      <c r="B52" s="44" t="s">
        <v>79</v>
      </c>
      <c r="C52" s="45">
        <v>3</v>
      </c>
      <c r="D52" s="45" t="s">
        <v>71</v>
      </c>
      <c r="E52" s="45" t="s">
        <v>66</v>
      </c>
      <c r="F52" s="45" t="s">
        <v>37</v>
      </c>
      <c r="G52" s="45">
        <v>10</v>
      </c>
      <c r="H52" s="44">
        <v>10</v>
      </c>
      <c r="I52" s="47">
        <v>10</v>
      </c>
      <c r="J52" s="47">
        <v>12</v>
      </c>
      <c r="K52" s="48">
        <v>14</v>
      </c>
      <c r="L52" s="47">
        <v>14</v>
      </c>
      <c r="M52" s="47">
        <v>14</v>
      </c>
    </row>
    <row r="53" spans="1:13" ht="13" x14ac:dyDescent="0.15">
      <c r="A53" s="13"/>
      <c r="B53" s="44" t="s">
        <v>80</v>
      </c>
      <c r="C53" s="45">
        <v>4</v>
      </c>
      <c r="D53" s="45" t="s">
        <v>65</v>
      </c>
      <c r="E53" s="45" t="s">
        <v>68</v>
      </c>
      <c r="F53" s="45" t="s">
        <v>37</v>
      </c>
      <c r="G53" s="45">
        <v>10</v>
      </c>
      <c r="H53" s="44">
        <v>0</v>
      </c>
      <c r="I53" s="47">
        <v>0</v>
      </c>
      <c r="J53" s="47">
        <v>0</v>
      </c>
      <c r="K53" s="47">
        <v>0</v>
      </c>
      <c r="L53" s="47">
        <v>50</v>
      </c>
      <c r="M53" s="47">
        <v>50</v>
      </c>
    </row>
    <row r="54" spans="1:13" ht="13" x14ac:dyDescent="0.15">
      <c r="A54" s="13"/>
      <c r="B54" s="44" t="s">
        <v>83</v>
      </c>
      <c r="C54" s="45">
        <v>4</v>
      </c>
      <c r="D54" s="45" t="s">
        <v>97</v>
      </c>
      <c r="E54" s="45" t="s">
        <v>66</v>
      </c>
      <c r="F54" s="45" t="s">
        <v>37</v>
      </c>
      <c r="G54" s="45">
        <v>10</v>
      </c>
      <c r="H54" s="44">
        <v>10</v>
      </c>
      <c r="I54" s="47">
        <v>10</v>
      </c>
      <c r="J54" s="48">
        <v>11</v>
      </c>
      <c r="K54" s="47">
        <v>11</v>
      </c>
      <c r="L54" s="48">
        <v>12</v>
      </c>
      <c r="M54" s="47">
        <v>12</v>
      </c>
    </row>
    <row r="55" spans="1:13" ht="13" x14ac:dyDescent="0.15">
      <c r="A55" s="13"/>
      <c r="B55" s="44" t="s">
        <v>84</v>
      </c>
      <c r="C55" s="45">
        <v>4</v>
      </c>
      <c r="D55" s="45" t="s">
        <v>65</v>
      </c>
      <c r="E55" s="45" t="s">
        <v>68</v>
      </c>
      <c r="F55" s="45" t="s">
        <v>37</v>
      </c>
      <c r="G55" s="45">
        <v>10</v>
      </c>
      <c r="H55" s="44">
        <v>15</v>
      </c>
      <c r="I55" s="47">
        <v>15</v>
      </c>
      <c r="J55" s="47">
        <v>25</v>
      </c>
      <c r="K55" s="48">
        <v>27.5</v>
      </c>
      <c r="L55" s="47">
        <v>27.5</v>
      </c>
      <c r="M55" s="48">
        <v>30</v>
      </c>
    </row>
    <row r="56" spans="1:13" ht="13" x14ac:dyDescent="0.15">
      <c r="A56" s="13"/>
      <c r="B56" s="44" t="s">
        <v>85</v>
      </c>
      <c r="C56" s="45">
        <v>4</v>
      </c>
      <c r="D56" s="45" t="s">
        <v>97</v>
      </c>
      <c r="E56" s="45" t="s">
        <v>66</v>
      </c>
      <c r="F56" s="45" t="s">
        <v>37</v>
      </c>
      <c r="G56" s="45">
        <v>10</v>
      </c>
      <c r="H56" s="44">
        <v>7.5</v>
      </c>
      <c r="I56" s="47">
        <v>7.5</v>
      </c>
      <c r="J56" s="47">
        <v>9</v>
      </c>
      <c r="K56" s="47">
        <v>10</v>
      </c>
      <c r="L56" s="47">
        <v>10</v>
      </c>
      <c r="M56" s="44"/>
    </row>
    <row r="57" spans="1:13" ht="13" x14ac:dyDescent="0.15">
      <c r="A57" s="34"/>
      <c r="B57" s="25"/>
      <c r="C57" s="25"/>
      <c r="D57" s="54"/>
      <c r="E57" s="25"/>
      <c r="F57" s="25"/>
      <c r="G57" s="25"/>
      <c r="H57" s="25"/>
      <c r="I57" s="25"/>
      <c r="J57" s="25"/>
      <c r="K57" s="25"/>
      <c r="L57" s="25"/>
      <c r="M57" s="25"/>
    </row>
    <row r="58" spans="1:13" ht="13" x14ac:dyDescent="0.15">
      <c r="A58" s="25"/>
      <c r="B58" s="25"/>
      <c r="C58" s="25"/>
      <c r="D58" s="54"/>
      <c r="E58" s="25"/>
      <c r="F58" s="25"/>
      <c r="G58" s="25"/>
      <c r="H58" s="25"/>
      <c r="I58" s="25"/>
      <c r="J58" s="25"/>
      <c r="K58" s="25"/>
      <c r="L58" s="25"/>
      <c r="M58" s="25"/>
    </row>
    <row r="59" spans="1:13" ht="13" x14ac:dyDescent="0.15">
      <c r="A59" s="40" t="s">
        <v>124</v>
      </c>
      <c r="B59" s="50" t="s">
        <v>52</v>
      </c>
      <c r="C59" s="50" t="s">
        <v>53</v>
      </c>
      <c r="D59" s="51" t="s">
        <v>54</v>
      </c>
      <c r="E59" s="50" t="s">
        <v>55</v>
      </c>
      <c r="F59" s="50" t="s">
        <v>56</v>
      </c>
      <c r="G59" s="50" t="s">
        <v>57</v>
      </c>
      <c r="H59" s="50" t="s">
        <v>58</v>
      </c>
      <c r="I59" s="50" t="s">
        <v>59</v>
      </c>
      <c r="J59" s="50" t="s">
        <v>60</v>
      </c>
      <c r="K59" s="50" t="s">
        <v>61</v>
      </c>
      <c r="L59" s="40" t="s">
        <v>62</v>
      </c>
      <c r="M59" s="40" t="s">
        <v>63</v>
      </c>
    </row>
    <row r="60" spans="1:13" ht="13" x14ac:dyDescent="0.15">
      <c r="A60" s="55"/>
      <c r="B60" s="44"/>
      <c r="C60" s="44"/>
      <c r="D60" s="52"/>
      <c r="E60" s="44"/>
      <c r="F60" s="44"/>
      <c r="G60" s="44"/>
      <c r="H60" s="44"/>
      <c r="I60" s="44"/>
      <c r="J60" s="44"/>
      <c r="K60" s="44"/>
      <c r="L60" s="44"/>
      <c r="M60" s="44"/>
    </row>
    <row r="61" spans="1:13" ht="13" x14ac:dyDescent="0.15">
      <c r="A61" s="55"/>
      <c r="B61" s="44" t="s">
        <v>87</v>
      </c>
      <c r="C61" s="45">
        <v>4</v>
      </c>
      <c r="D61" s="45" t="s">
        <v>97</v>
      </c>
      <c r="E61" s="45" t="s">
        <v>66</v>
      </c>
      <c r="F61" s="45" t="s">
        <v>37</v>
      </c>
      <c r="G61" s="45">
        <v>10</v>
      </c>
      <c r="H61" s="44">
        <v>120</v>
      </c>
      <c r="I61" s="47">
        <v>120</v>
      </c>
      <c r="J61" s="48">
        <v>125</v>
      </c>
      <c r="K61" s="47">
        <v>125</v>
      </c>
      <c r="L61" s="47">
        <v>125</v>
      </c>
      <c r="M61" s="44">
        <v>125</v>
      </c>
    </row>
    <row r="62" spans="1:13" ht="13" x14ac:dyDescent="0.15">
      <c r="A62" s="55"/>
      <c r="B62" s="44" t="s">
        <v>88</v>
      </c>
      <c r="C62" s="45">
        <v>3</v>
      </c>
      <c r="D62" s="46">
        <v>41255</v>
      </c>
      <c r="E62" s="45" t="s">
        <v>68</v>
      </c>
      <c r="F62" s="45" t="s">
        <v>37</v>
      </c>
      <c r="G62" s="45">
        <v>10</v>
      </c>
      <c r="H62" s="44">
        <v>10</v>
      </c>
      <c r="I62" s="47">
        <v>10</v>
      </c>
      <c r="J62" s="47">
        <v>12</v>
      </c>
      <c r="K62" s="48">
        <v>14</v>
      </c>
      <c r="L62" s="47">
        <v>14</v>
      </c>
      <c r="M62" s="47">
        <v>18</v>
      </c>
    </row>
    <row r="63" spans="1:13" ht="13" x14ac:dyDescent="0.15">
      <c r="A63" s="55"/>
      <c r="B63" s="44" t="s">
        <v>89</v>
      </c>
      <c r="C63" s="45">
        <v>3</v>
      </c>
      <c r="D63" s="45" t="s">
        <v>71</v>
      </c>
      <c r="E63" s="45" t="s">
        <v>66</v>
      </c>
      <c r="F63" s="45" t="s">
        <v>37</v>
      </c>
      <c r="G63" s="45">
        <v>10</v>
      </c>
      <c r="H63" s="44">
        <v>42.5</v>
      </c>
      <c r="I63" s="47">
        <v>42.5</v>
      </c>
      <c r="J63" s="48">
        <v>45</v>
      </c>
      <c r="K63" s="47">
        <v>45</v>
      </c>
      <c r="L63" s="48">
        <v>47.5</v>
      </c>
      <c r="M63" s="47">
        <v>47.5</v>
      </c>
    </row>
    <row r="64" spans="1:13" ht="13" x14ac:dyDescent="0.15">
      <c r="A64" s="55"/>
      <c r="B64" s="44" t="s">
        <v>91</v>
      </c>
      <c r="C64" s="45">
        <v>3</v>
      </c>
      <c r="D64" s="46">
        <v>41255</v>
      </c>
      <c r="E64" s="45" t="s">
        <v>68</v>
      </c>
      <c r="F64" s="45" t="s">
        <v>37</v>
      </c>
      <c r="G64" s="45">
        <v>10</v>
      </c>
      <c r="H64" s="44">
        <v>10</v>
      </c>
      <c r="I64" s="47">
        <v>10</v>
      </c>
      <c r="J64" s="44">
        <v>12</v>
      </c>
      <c r="K64" s="44">
        <v>12</v>
      </c>
      <c r="L64" s="47">
        <v>14</v>
      </c>
      <c r="M64" s="47">
        <v>15</v>
      </c>
    </row>
    <row r="65" spans="1:13" ht="13" x14ac:dyDescent="0.15">
      <c r="A65" s="55"/>
      <c r="B65" s="44" t="s">
        <v>92</v>
      </c>
      <c r="C65" s="45">
        <v>3</v>
      </c>
      <c r="D65" s="45" t="s">
        <v>71</v>
      </c>
      <c r="E65" s="45" t="s">
        <v>66</v>
      </c>
      <c r="F65" s="45" t="s">
        <v>37</v>
      </c>
      <c r="G65" s="45">
        <v>10</v>
      </c>
      <c r="H65" s="44">
        <v>35</v>
      </c>
      <c r="I65" s="47">
        <v>35</v>
      </c>
      <c r="J65" s="48">
        <v>37.5</v>
      </c>
      <c r="K65" s="44">
        <v>37.5</v>
      </c>
      <c r="L65" s="47">
        <v>32</v>
      </c>
      <c r="M65" s="47">
        <v>35</v>
      </c>
    </row>
    <row r="66" spans="1:13" ht="13" x14ac:dyDescent="0.15">
      <c r="A66" s="55"/>
      <c r="B66" s="44" t="s">
        <v>94</v>
      </c>
      <c r="C66" s="45">
        <v>4</v>
      </c>
      <c r="D66" s="45" t="s">
        <v>97</v>
      </c>
      <c r="E66" s="45" t="s">
        <v>72</v>
      </c>
      <c r="F66" s="45" t="s">
        <v>37</v>
      </c>
      <c r="G66" s="45">
        <v>10</v>
      </c>
      <c r="H66" s="44">
        <v>50</v>
      </c>
      <c r="I66" s="47">
        <v>50</v>
      </c>
      <c r="J66" s="48">
        <v>80</v>
      </c>
      <c r="K66" s="44">
        <v>85</v>
      </c>
      <c r="L66" s="47">
        <v>100</v>
      </c>
      <c r="M66" s="44"/>
    </row>
    <row r="67" spans="1:13" ht="13" x14ac:dyDescent="0.15">
      <c r="A67" s="55"/>
      <c r="B67" s="44" t="s">
        <v>95</v>
      </c>
      <c r="C67" s="45">
        <v>4</v>
      </c>
      <c r="D67" s="45" t="s">
        <v>97</v>
      </c>
      <c r="E67" s="45" t="s">
        <v>72</v>
      </c>
      <c r="F67" s="45" t="s">
        <v>37</v>
      </c>
      <c r="G67" s="45">
        <v>10</v>
      </c>
      <c r="H67" s="44">
        <v>0</v>
      </c>
      <c r="I67" s="47">
        <v>0</v>
      </c>
      <c r="J67" s="44">
        <v>0</v>
      </c>
      <c r="K67" s="44">
        <v>0</v>
      </c>
      <c r="L67" s="44"/>
      <c r="M67" s="4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FF"/>
    <outlinePr summaryBelow="0" summaryRight="0"/>
  </sheetPr>
  <dimension ref="A1:U1000"/>
  <sheetViews>
    <sheetView workbookViewId="0"/>
  </sheetViews>
  <sheetFormatPr baseColWidth="10" defaultColWidth="12.6640625" defaultRowHeight="15.75" customHeight="1" x14ac:dyDescent="0.15"/>
  <cols>
    <col min="1" max="1" width="29.33203125" customWidth="1"/>
    <col min="2" max="2" width="45.6640625" customWidth="1"/>
  </cols>
  <sheetData>
    <row r="1" spans="1:13" ht="15.75" customHeight="1" x14ac:dyDescent="0.15">
      <c r="A1" s="40" t="s">
        <v>90</v>
      </c>
      <c r="B1" s="25"/>
      <c r="C1" s="25"/>
      <c r="D1" s="25"/>
      <c r="E1" s="25"/>
      <c r="F1" s="57">
        <v>46364</v>
      </c>
      <c r="G1" s="25"/>
      <c r="H1" s="58"/>
      <c r="I1" s="58"/>
      <c r="J1" s="25"/>
      <c r="K1" s="25"/>
      <c r="L1" s="25"/>
      <c r="M1" s="25"/>
    </row>
    <row r="2" spans="1:13" ht="15.75" customHeight="1" x14ac:dyDescent="0.15">
      <c r="A2" s="25"/>
      <c r="B2" s="25"/>
      <c r="C2" s="25"/>
      <c r="D2" s="25"/>
      <c r="E2" s="25"/>
      <c r="F2" s="25"/>
      <c r="G2" s="25"/>
      <c r="H2" s="58"/>
      <c r="I2" s="58"/>
      <c r="J2" s="25"/>
      <c r="K2" s="25"/>
      <c r="L2" s="25"/>
      <c r="M2" s="25"/>
    </row>
    <row r="3" spans="1:13" ht="15.75" customHeight="1" x14ac:dyDescent="0.15">
      <c r="A3" s="41"/>
      <c r="B3" s="41"/>
      <c r="C3" s="41"/>
      <c r="D3" s="41"/>
      <c r="E3" s="41"/>
      <c r="F3" s="41"/>
      <c r="G3" s="41"/>
      <c r="H3" s="59"/>
      <c r="I3" s="59"/>
      <c r="J3" s="41"/>
      <c r="K3" s="41"/>
      <c r="L3" s="25"/>
      <c r="M3" s="25"/>
    </row>
    <row r="4" spans="1:13" ht="15.75" customHeight="1" x14ac:dyDescent="0.15">
      <c r="A4" s="42" t="s">
        <v>51</v>
      </c>
      <c r="B4" s="43" t="s">
        <v>52</v>
      </c>
      <c r="C4" s="43" t="s">
        <v>53</v>
      </c>
      <c r="D4" s="43" t="s">
        <v>54</v>
      </c>
      <c r="E4" s="43" t="s">
        <v>55</v>
      </c>
      <c r="F4" s="43" t="s">
        <v>56</v>
      </c>
      <c r="G4" s="43" t="s">
        <v>57</v>
      </c>
      <c r="H4" s="60" t="s">
        <v>58</v>
      </c>
      <c r="I4" s="60" t="s">
        <v>59</v>
      </c>
      <c r="J4" s="43" t="s">
        <v>60</v>
      </c>
      <c r="K4" s="43" t="s">
        <v>61</v>
      </c>
      <c r="L4" s="40" t="s">
        <v>62</v>
      </c>
      <c r="M4" s="40" t="s">
        <v>63</v>
      </c>
    </row>
    <row r="5" spans="1:13" ht="15.75" customHeight="1" x14ac:dyDescent="0.15">
      <c r="A5" s="13"/>
      <c r="B5" s="44"/>
      <c r="C5" s="44"/>
      <c r="D5" s="44"/>
      <c r="E5" s="44"/>
      <c r="F5" s="44"/>
      <c r="G5" s="44"/>
      <c r="H5" s="62"/>
      <c r="I5" s="62"/>
      <c r="J5" s="44"/>
      <c r="K5" s="63"/>
      <c r="L5" s="64"/>
      <c r="M5" s="64"/>
    </row>
    <row r="6" spans="1:13" ht="15.75" customHeight="1" x14ac:dyDescent="0.15">
      <c r="A6" s="13"/>
      <c r="B6" s="44" t="s">
        <v>98</v>
      </c>
      <c r="C6" s="45">
        <v>4</v>
      </c>
      <c r="D6" s="45" t="s">
        <v>100</v>
      </c>
      <c r="E6" s="45" t="s">
        <v>66</v>
      </c>
      <c r="F6" s="45" t="s">
        <v>37</v>
      </c>
      <c r="G6" s="45">
        <v>10</v>
      </c>
      <c r="H6" s="65" t="s">
        <v>102</v>
      </c>
      <c r="I6" s="65" t="s">
        <v>102</v>
      </c>
      <c r="J6" s="65" t="s">
        <v>102</v>
      </c>
      <c r="K6" s="48" t="s">
        <v>103</v>
      </c>
      <c r="L6" s="47" t="s">
        <v>103</v>
      </c>
      <c r="M6" s="47" t="s">
        <v>103</v>
      </c>
    </row>
    <row r="7" spans="1:13" ht="15.75" customHeight="1" x14ac:dyDescent="0.15">
      <c r="A7" s="13"/>
      <c r="B7" s="44" t="s">
        <v>105</v>
      </c>
      <c r="C7" s="45">
        <v>3</v>
      </c>
      <c r="D7" s="45" t="s">
        <v>107</v>
      </c>
      <c r="E7" s="45" t="s">
        <v>66</v>
      </c>
      <c r="F7" s="45" t="s">
        <v>37</v>
      </c>
      <c r="G7" s="45">
        <v>10</v>
      </c>
      <c r="H7" s="65" t="s">
        <v>108</v>
      </c>
      <c r="I7" s="65" t="s">
        <v>109</v>
      </c>
      <c r="J7" s="48" t="s">
        <v>110</v>
      </c>
      <c r="K7" s="47" t="s">
        <v>110</v>
      </c>
      <c r="L7" s="47" t="s">
        <v>111</v>
      </c>
      <c r="M7" s="66" t="s">
        <v>112</v>
      </c>
    </row>
    <row r="8" spans="1:13" ht="15.75" customHeight="1" x14ac:dyDescent="0.15">
      <c r="A8" s="13"/>
      <c r="B8" s="44" t="s">
        <v>114</v>
      </c>
      <c r="C8" s="45">
        <v>3</v>
      </c>
      <c r="D8" s="46">
        <v>41255</v>
      </c>
      <c r="E8" s="45" t="s">
        <v>72</v>
      </c>
      <c r="F8" s="45" t="s">
        <v>37</v>
      </c>
      <c r="G8" s="45">
        <v>10</v>
      </c>
      <c r="H8" s="67">
        <v>17.5</v>
      </c>
      <c r="I8" s="65">
        <v>17.5</v>
      </c>
      <c r="J8" s="48">
        <v>18</v>
      </c>
      <c r="K8" s="68">
        <v>18</v>
      </c>
      <c r="L8" s="66">
        <v>18</v>
      </c>
      <c r="M8" s="66">
        <v>19</v>
      </c>
    </row>
    <row r="9" spans="1:13" ht="15.75" customHeight="1" x14ac:dyDescent="0.15">
      <c r="A9" s="13"/>
      <c r="B9" s="44"/>
      <c r="C9" s="44"/>
      <c r="D9" s="44"/>
      <c r="E9" s="44"/>
      <c r="F9" s="44"/>
      <c r="G9" s="44"/>
      <c r="H9" s="62"/>
      <c r="I9" s="62"/>
      <c r="J9" s="44"/>
      <c r="K9" s="44"/>
      <c r="L9" s="64"/>
      <c r="M9" s="64"/>
    </row>
    <row r="10" spans="1:13" ht="15.75" customHeight="1" x14ac:dyDescent="0.15">
      <c r="A10" s="13"/>
      <c r="B10" s="44" t="s">
        <v>115</v>
      </c>
      <c r="C10" s="45">
        <v>4</v>
      </c>
      <c r="D10" s="45" t="s">
        <v>100</v>
      </c>
      <c r="E10" s="45" t="s">
        <v>66</v>
      </c>
      <c r="F10" s="45" t="s">
        <v>37</v>
      </c>
      <c r="G10" s="45">
        <v>10</v>
      </c>
      <c r="H10" s="65" t="s">
        <v>116</v>
      </c>
      <c r="I10" s="65" t="s">
        <v>117</v>
      </c>
      <c r="J10" s="65" t="s">
        <v>117</v>
      </c>
      <c r="K10" s="65" t="s">
        <v>117</v>
      </c>
      <c r="L10" s="48" t="s">
        <v>118</v>
      </c>
      <c r="M10" s="47" t="s">
        <v>118</v>
      </c>
    </row>
    <row r="11" spans="1:13" ht="15.75" customHeight="1" x14ac:dyDescent="0.15">
      <c r="A11" s="13"/>
      <c r="B11" s="44" t="s">
        <v>119</v>
      </c>
      <c r="C11" s="45">
        <v>3</v>
      </c>
      <c r="D11" s="45" t="s">
        <v>107</v>
      </c>
      <c r="E11" s="45" t="s">
        <v>66</v>
      </c>
      <c r="F11" s="45" t="s">
        <v>37</v>
      </c>
      <c r="G11" s="45">
        <v>10</v>
      </c>
      <c r="H11" s="65" t="s">
        <v>120</v>
      </c>
      <c r="I11" s="67" t="s">
        <v>121</v>
      </c>
      <c r="J11" s="67" t="s">
        <v>121</v>
      </c>
      <c r="K11" s="65" t="s">
        <v>121</v>
      </c>
      <c r="L11" s="48" t="s">
        <v>122</v>
      </c>
      <c r="M11" s="66" t="s">
        <v>122</v>
      </c>
    </row>
    <row r="12" spans="1:13" ht="15.75" customHeight="1" x14ac:dyDescent="0.15">
      <c r="A12" s="13"/>
      <c r="B12" s="44" t="s">
        <v>123</v>
      </c>
      <c r="C12" s="45">
        <v>3</v>
      </c>
      <c r="D12" s="46">
        <v>41255</v>
      </c>
      <c r="E12" s="45" t="s">
        <v>72</v>
      </c>
      <c r="F12" s="45" t="s">
        <v>37</v>
      </c>
      <c r="G12" s="45">
        <v>10</v>
      </c>
      <c r="H12" s="65">
        <v>60</v>
      </c>
      <c r="I12" s="67">
        <v>65</v>
      </c>
      <c r="J12" s="47">
        <v>65</v>
      </c>
      <c r="K12" s="48">
        <v>70</v>
      </c>
      <c r="L12" s="47">
        <v>70</v>
      </c>
      <c r="M12" s="66">
        <v>70</v>
      </c>
    </row>
    <row r="13" spans="1:13" ht="15.75" customHeight="1" x14ac:dyDescent="0.15">
      <c r="H13" s="69"/>
      <c r="I13" s="70"/>
    </row>
    <row r="14" spans="1:13" ht="15.75" customHeight="1" x14ac:dyDescent="0.15">
      <c r="H14" s="70"/>
      <c r="I14" s="70"/>
    </row>
    <row r="15" spans="1:13" ht="15.75" customHeight="1" x14ac:dyDescent="0.15">
      <c r="A15" s="40" t="s">
        <v>76</v>
      </c>
      <c r="B15" s="40" t="s">
        <v>52</v>
      </c>
      <c r="C15" s="40" t="s">
        <v>53</v>
      </c>
      <c r="D15" s="40" t="s">
        <v>54</v>
      </c>
      <c r="E15" s="40" t="s">
        <v>55</v>
      </c>
      <c r="F15" s="40" t="s">
        <v>56</v>
      </c>
      <c r="G15" s="40" t="s">
        <v>57</v>
      </c>
      <c r="H15" s="71" t="s">
        <v>58</v>
      </c>
      <c r="I15" s="71" t="s">
        <v>59</v>
      </c>
      <c r="J15" s="40" t="s">
        <v>60</v>
      </c>
      <c r="K15" s="40" t="s">
        <v>61</v>
      </c>
      <c r="L15" s="40" t="s">
        <v>62</v>
      </c>
      <c r="M15" s="40" t="s">
        <v>63</v>
      </c>
    </row>
    <row r="16" spans="1:13" ht="15.75" customHeight="1" x14ac:dyDescent="0.15">
      <c r="A16" s="13"/>
      <c r="B16" s="44"/>
      <c r="C16" s="44"/>
      <c r="D16" s="44"/>
      <c r="E16" s="44"/>
      <c r="F16" s="44"/>
      <c r="G16" s="44"/>
      <c r="H16" s="72"/>
      <c r="I16" s="72"/>
      <c r="J16" s="64"/>
      <c r="K16" s="64"/>
      <c r="L16" s="64"/>
      <c r="M16" s="64"/>
    </row>
    <row r="17" spans="1:21" ht="15.75" customHeight="1" x14ac:dyDescent="0.15">
      <c r="A17" s="13"/>
      <c r="B17" s="44" t="s">
        <v>125</v>
      </c>
      <c r="C17" s="45">
        <v>4</v>
      </c>
      <c r="D17" s="45" t="s">
        <v>100</v>
      </c>
      <c r="E17" s="45" t="s">
        <v>66</v>
      </c>
      <c r="F17" s="45" t="s">
        <v>37</v>
      </c>
      <c r="G17" s="45">
        <v>10</v>
      </c>
      <c r="H17" s="73" t="s">
        <v>126</v>
      </c>
      <c r="I17" s="73" t="s">
        <v>126</v>
      </c>
      <c r="J17" s="74" t="s">
        <v>127</v>
      </c>
      <c r="K17" s="74" t="s">
        <v>127</v>
      </c>
      <c r="L17" s="66" t="s">
        <v>127</v>
      </c>
      <c r="M17" s="74" t="s">
        <v>128</v>
      </c>
    </row>
    <row r="18" spans="1:21" ht="15.75" customHeight="1" x14ac:dyDescent="0.15">
      <c r="A18" s="13"/>
      <c r="B18" s="44" t="s">
        <v>129</v>
      </c>
      <c r="C18" s="45">
        <v>3</v>
      </c>
      <c r="D18" s="45" t="s">
        <v>107</v>
      </c>
      <c r="E18" s="45" t="s">
        <v>66</v>
      </c>
      <c r="F18" s="45" t="s">
        <v>37</v>
      </c>
      <c r="G18" s="45">
        <v>10</v>
      </c>
      <c r="H18" s="75" t="s">
        <v>130</v>
      </c>
      <c r="I18" s="73" t="s">
        <v>130</v>
      </c>
      <c r="J18" s="76" t="s">
        <v>131</v>
      </c>
      <c r="K18" s="66" t="s">
        <v>131</v>
      </c>
      <c r="L18" s="66" t="s">
        <v>131</v>
      </c>
      <c r="M18" s="66" t="s">
        <v>131</v>
      </c>
      <c r="U18" s="77"/>
    </row>
    <row r="19" spans="1:21" ht="15.75" customHeight="1" x14ac:dyDescent="0.15">
      <c r="A19" s="13"/>
      <c r="B19" s="44"/>
      <c r="C19" s="44"/>
      <c r="D19" s="44"/>
      <c r="E19" s="44"/>
      <c r="F19" s="44"/>
      <c r="G19" s="44"/>
      <c r="H19" s="72"/>
      <c r="I19" s="72"/>
      <c r="J19" s="64"/>
      <c r="K19" s="64"/>
      <c r="L19" s="64"/>
      <c r="M19" s="64"/>
    </row>
    <row r="20" spans="1:21" ht="15.75" customHeight="1" x14ac:dyDescent="0.15">
      <c r="A20" s="13"/>
      <c r="B20" s="44" t="s">
        <v>132</v>
      </c>
      <c r="C20" s="45">
        <v>4</v>
      </c>
      <c r="D20" s="45" t="s">
        <v>100</v>
      </c>
      <c r="E20" s="45" t="s">
        <v>66</v>
      </c>
      <c r="F20" s="45" t="s">
        <v>37</v>
      </c>
      <c r="G20" s="45">
        <v>10</v>
      </c>
      <c r="H20" s="73" t="s">
        <v>133</v>
      </c>
      <c r="I20" s="73" t="s">
        <v>133</v>
      </c>
      <c r="J20" s="66" t="s">
        <v>134</v>
      </c>
      <c r="K20" s="74" t="s">
        <v>135</v>
      </c>
      <c r="L20" s="74" t="s">
        <v>135</v>
      </c>
      <c r="M20" s="66" t="s">
        <v>136</v>
      </c>
    </row>
    <row r="21" spans="1:21" ht="15.75" customHeight="1" x14ac:dyDescent="0.15">
      <c r="A21" s="13"/>
      <c r="B21" s="44" t="s">
        <v>137</v>
      </c>
      <c r="C21" s="45">
        <v>3</v>
      </c>
      <c r="D21" s="45" t="s">
        <v>107</v>
      </c>
      <c r="E21" s="45" t="s">
        <v>66</v>
      </c>
      <c r="F21" s="45" t="s">
        <v>37</v>
      </c>
      <c r="G21" s="45">
        <v>10</v>
      </c>
      <c r="H21" s="78" t="s">
        <v>138</v>
      </c>
      <c r="I21" s="79">
        <v>46364</v>
      </c>
      <c r="J21" s="57">
        <v>46364</v>
      </c>
      <c r="K21" s="57">
        <v>46362</v>
      </c>
      <c r="L21" s="57">
        <v>46362</v>
      </c>
      <c r="M21" s="74" t="s">
        <v>139</v>
      </c>
    </row>
    <row r="22" spans="1:21" ht="15.75" customHeight="1" x14ac:dyDescent="0.15">
      <c r="A22" s="13"/>
      <c r="B22" s="44"/>
      <c r="C22" s="44"/>
      <c r="D22" s="44"/>
      <c r="E22" s="44"/>
      <c r="F22" s="44"/>
      <c r="G22" s="44"/>
      <c r="H22" s="72"/>
      <c r="I22" s="72"/>
      <c r="J22" s="64"/>
      <c r="K22" s="64"/>
      <c r="L22" s="64"/>
      <c r="M22" s="64"/>
    </row>
    <row r="23" spans="1:21" ht="15.75" customHeight="1" x14ac:dyDescent="0.15">
      <c r="A23" s="13"/>
      <c r="B23" s="44" t="s">
        <v>140</v>
      </c>
      <c r="C23" s="45">
        <v>4</v>
      </c>
      <c r="D23" s="45" t="s">
        <v>100</v>
      </c>
      <c r="E23" s="45" t="s">
        <v>66</v>
      </c>
      <c r="F23" s="45" t="s">
        <v>37</v>
      </c>
      <c r="G23" s="45">
        <v>10</v>
      </c>
      <c r="H23" s="73" t="s">
        <v>141</v>
      </c>
      <c r="I23" s="73" t="s">
        <v>142</v>
      </c>
      <c r="J23" s="66" t="s">
        <v>143</v>
      </c>
      <c r="K23" s="66" t="s">
        <v>144</v>
      </c>
      <c r="L23" s="66" t="s">
        <v>145</v>
      </c>
      <c r="M23" s="66" t="s">
        <v>146</v>
      </c>
    </row>
    <row r="24" spans="1:21" ht="15.75" customHeight="1" x14ac:dyDescent="0.15">
      <c r="A24" s="13"/>
      <c r="B24" s="44" t="s">
        <v>147</v>
      </c>
      <c r="C24" s="45">
        <v>3</v>
      </c>
      <c r="D24" s="45" t="s">
        <v>107</v>
      </c>
      <c r="E24" s="45" t="s">
        <v>66</v>
      </c>
      <c r="F24" s="45" t="s">
        <v>37</v>
      </c>
      <c r="G24" s="45">
        <v>10</v>
      </c>
      <c r="H24" s="80">
        <v>46300</v>
      </c>
      <c r="I24" s="73" t="s">
        <v>148</v>
      </c>
      <c r="J24" s="81" t="s">
        <v>149</v>
      </c>
      <c r="K24" s="74" t="s">
        <v>150</v>
      </c>
      <c r="L24" s="74" t="s">
        <v>150</v>
      </c>
      <c r="M24" s="66" t="s">
        <v>150</v>
      </c>
    </row>
    <row r="25" spans="1:21" ht="15.75" customHeight="1" x14ac:dyDescent="0.15">
      <c r="H25" s="70"/>
      <c r="I25" s="70"/>
    </row>
    <row r="26" spans="1:21" ht="15.75" customHeight="1" x14ac:dyDescent="0.15">
      <c r="H26" s="70"/>
      <c r="I26" s="70"/>
    </row>
    <row r="27" spans="1:21" ht="15.75" customHeight="1" x14ac:dyDescent="0.15">
      <c r="A27" s="40" t="s">
        <v>86</v>
      </c>
      <c r="B27" s="40" t="s">
        <v>52</v>
      </c>
      <c r="C27" s="40" t="s">
        <v>53</v>
      </c>
      <c r="D27" s="40" t="s">
        <v>54</v>
      </c>
      <c r="E27" s="40" t="s">
        <v>55</v>
      </c>
      <c r="F27" s="40" t="s">
        <v>56</v>
      </c>
      <c r="G27" s="40" t="s">
        <v>57</v>
      </c>
      <c r="H27" s="71" t="s">
        <v>58</v>
      </c>
      <c r="I27" s="71" t="s">
        <v>59</v>
      </c>
      <c r="J27" s="40" t="s">
        <v>60</v>
      </c>
      <c r="K27" s="40" t="s">
        <v>61</v>
      </c>
      <c r="L27" s="40" t="s">
        <v>62</v>
      </c>
      <c r="M27" s="40" t="s">
        <v>63</v>
      </c>
    </row>
    <row r="28" spans="1:21" ht="15.75" customHeight="1" x14ac:dyDescent="0.15">
      <c r="A28" s="13"/>
      <c r="B28" s="44"/>
      <c r="C28" s="44"/>
      <c r="D28" s="44"/>
      <c r="E28" s="44"/>
      <c r="F28" s="44"/>
      <c r="G28" s="44"/>
      <c r="H28" s="62"/>
      <c r="I28" s="62"/>
      <c r="J28" s="44"/>
      <c r="K28" s="44"/>
      <c r="L28" s="64"/>
      <c r="M28" s="64"/>
    </row>
    <row r="29" spans="1:21" ht="15.75" customHeight="1" x14ac:dyDescent="0.15">
      <c r="A29" s="13"/>
      <c r="B29" s="44" t="s">
        <v>151</v>
      </c>
      <c r="C29" s="45">
        <v>4</v>
      </c>
      <c r="D29" s="45" t="s">
        <v>100</v>
      </c>
      <c r="E29" s="45" t="s">
        <v>66</v>
      </c>
      <c r="F29" s="45" t="s">
        <v>37</v>
      </c>
      <c r="G29" s="44">
        <v>10</v>
      </c>
      <c r="H29" s="67" t="s">
        <v>152</v>
      </c>
      <c r="I29" s="67" t="s">
        <v>152</v>
      </c>
      <c r="J29" s="65" t="s">
        <v>152</v>
      </c>
      <c r="K29" s="48" t="s">
        <v>102</v>
      </c>
      <c r="L29" s="47" t="s">
        <v>102</v>
      </c>
      <c r="M29" s="47" t="s">
        <v>102</v>
      </c>
    </row>
    <row r="30" spans="1:21" ht="15.75" customHeight="1" x14ac:dyDescent="0.15">
      <c r="A30" s="13"/>
      <c r="B30" s="44" t="s">
        <v>153</v>
      </c>
      <c r="C30" s="45">
        <v>3</v>
      </c>
      <c r="D30" s="45" t="s">
        <v>107</v>
      </c>
      <c r="E30" s="45" t="s">
        <v>66</v>
      </c>
      <c r="F30" s="45" t="s">
        <v>37</v>
      </c>
      <c r="G30" s="44">
        <v>10</v>
      </c>
      <c r="H30" s="67" t="s">
        <v>154</v>
      </c>
      <c r="I30" s="65" t="s">
        <v>154</v>
      </c>
      <c r="J30" s="47" t="s">
        <v>155</v>
      </c>
      <c r="K30" s="48" t="s">
        <v>156</v>
      </c>
      <c r="L30" s="47" t="s">
        <v>156</v>
      </c>
      <c r="M30" s="47" t="s">
        <v>156</v>
      </c>
    </row>
    <row r="31" spans="1:21" ht="15.75" customHeight="1" x14ac:dyDescent="0.15">
      <c r="A31" s="13"/>
      <c r="B31" s="44"/>
      <c r="C31" s="44"/>
      <c r="D31" s="44"/>
      <c r="E31" s="44"/>
      <c r="F31" s="44"/>
      <c r="G31" s="44"/>
      <c r="H31" s="62"/>
      <c r="I31" s="62"/>
      <c r="J31" s="44"/>
      <c r="K31" s="44"/>
      <c r="L31" s="44"/>
      <c r="M31" s="64"/>
    </row>
    <row r="32" spans="1:21" ht="15.75" customHeight="1" x14ac:dyDescent="0.15">
      <c r="A32" s="13"/>
      <c r="B32" s="44" t="s">
        <v>157</v>
      </c>
      <c r="C32" s="45">
        <v>4</v>
      </c>
      <c r="D32" s="45" t="s">
        <v>100</v>
      </c>
      <c r="E32" s="45" t="s">
        <v>66</v>
      </c>
      <c r="F32" s="45" t="s">
        <v>37</v>
      </c>
      <c r="G32" s="44">
        <v>10</v>
      </c>
      <c r="H32" s="65" t="s">
        <v>158</v>
      </c>
      <c r="I32" s="65" t="s">
        <v>159</v>
      </c>
      <c r="J32" s="48" t="s">
        <v>160</v>
      </c>
      <c r="K32" s="48" t="s">
        <v>161</v>
      </c>
      <c r="L32" s="47" t="s">
        <v>162</v>
      </c>
      <c r="M32" s="66" t="s">
        <v>163</v>
      </c>
    </row>
    <row r="33" spans="1:13" ht="15.75" customHeight="1" x14ac:dyDescent="0.15">
      <c r="A33" s="13"/>
      <c r="B33" s="44" t="s">
        <v>164</v>
      </c>
      <c r="C33" s="45">
        <v>3</v>
      </c>
      <c r="D33" s="45" t="s">
        <v>107</v>
      </c>
      <c r="E33" s="45" t="s">
        <v>66</v>
      </c>
      <c r="F33" s="45" t="s">
        <v>37</v>
      </c>
      <c r="G33" s="44">
        <v>10</v>
      </c>
      <c r="H33" s="67" t="s">
        <v>165</v>
      </c>
      <c r="I33" s="67" t="s">
        <v>165</v>
      </c>
      <c r="J33" s="47" t="s">
        <v>165</v>
      </c>
      <c r="K33" s="48" t="s">
        <v>166</v>
      </c>
      <c r="L33" s="47" t="s">
        <v>167</v>
      </c>
      <c r="M33" s="74" t="s">
        <v>168</v>
      </c>
    </row>
    <row r="34" spans="1:13" ht="15.75" customHeight="1" x14ac:dyDescent="0.15">
      <c r="A34" s="13"/>
      <c r="B34" s="44"/>
      <c r="C34" s="44"/>
      <c r="D34" s="44"/>
      <c r="E34" s="44"/>
      <c r="F34" s="44"/>
      <c r="G34" s="44"/>
      <c r="H34" s="62"/>
      <c r="I34" s="62"/>
      <c r="J34" s="82"/>
      <c r="K34" s="82"/>
      <c r="L34" s="82"/>
      <c r="M34" s="64"/>
    </row>
    <row r="35" spans="1:13" ht="15.75" customHeight="1" x14ac:dyDescent="0.15">
      <c r="A35" s="13"/>
      <c r="B35" s="44" t="s">
        <v>169</v>
      </c>
      <c r="C35" s="45">
        <v>4</v>
      </c>
      <c r="D35" s="45" t="s">
        <v>97</v>
      </c>
      <c r="E35" s="45" t="s">
        <v>72</v>
      </c>
      <c r="F35" s="45" t="s">
        <v>37</v>
      </c>
      <c r="G35" s="44">
        <v>10</v>
      </c>
      <c r="H35" s="65">
        <v>100</v>
      </c>
      <c r="I35" s="65">
        <v>100</v>
      </c>
      <c r="J35" s="47">
        <v>105</v>
      </c>
      <c r="K35" s="47">
        <v>110</v>
      </c>
      <c r="L35" s="47" t="s">
        <v>170</v>
      </c>
      <c r="M35" s="66">
        <v>110</v>
      </c>
    </row>
    <row r="36" spans="1:13" ht="15.75" customHeight="1" x14ac:dyDescent="0.15">
      <c r="A36" s="13"/>
      <c r="B36" s="44" t="s">
        <v>171</v>
      </c>
      <c r="C36" s="45">
        <v>4</v>
      </c>
      <c r="D36" s="45" t="s">
        <v>172</v>
      </c>
      <c r="E36" s="45" t="s">
        <v>72</v>
      </c>
      <c r="F36" s="45" t="s">
        <v>37</v>
      </c>
      <c r="G36" s="44">
        <v>10</v>
      </c>
      <c r="H36" s="62"/>
      <c r="I36" s="62"/>
      <c r="J36" s="44"/>
      <c r="K36" s="44"/>
      <c r="L36" s="44"/>
      <c r="M36" s="64"/>
    </row>
    <row r="37" spans="1:13" ht="15.75" customHeight="1" x14ac:dyDescent="0.15">
      <c r="H37" s="70"/>
      <c r="I37" s="70"/>
    </row>
    <row r="38" spans="1:13" ht="15.75" customHeight="1" x14ac:dyDescent="0.15">
      <c r="H38" s="70"/>
      <c r="I38" s="70"/>
    </row>
    <row r="39" spans="1:13" ht="15.75" customHeight="1" x14ac:dyDescent="0.15">
      <c r="A39" s="40" t="s">
        <v>96</v>
      </c>
      <c r="B39" s="40" t="s">
        <v>52</v>
      </c>
      <c r="C39" s="40" t="s">
        <v>53</v>
      </c>
      <c r="D39" s="40" t="s">
        <v>54</v>
      </c>
      <c r="E39" s="40" t="s">
        <v>55</v>
      </c>
      <c r="F39" s="40" t="s">
        <v>56</v>
      </c>
      <c r="G39" s="40" t="s">
        <v>57</v>
      </c>
      <c r="H39" s="71" t="s">
        <v>58</v>
      </c>
      <c r="I39" s="71" t="s">
        <v>59</v>
      </c>
      <c r="J39" s="40" t="s">
        <v>60</v>
      </c>
      <c r="K39" s="40" t="s">
        <v>61</v>
      </c>
      <c r="L39" s="40" t="s">
        <v>62</v>
      </c>
      <c r="M39" s="40" t="s">
        <v>63</v>
      </c>
    </row>
    <row r="40" spans="1:13" ht="15.75" customHeight="1" x14ac:dyDescent="0.15">
      <c r="A40" s="13"/>
      <c r="B40" s="44"/>
      <c r="C40" s="44"/>
      <c r="D40" s="44"/>
      <c r="E40" s="44"/>
      <c r="F40" s="44"/>
      <c r="G40" s="44"/>
      <c r="H40" s="62"/>
      <c r="I40" s="62"/>
      <c r="J40" s="44"/>
      <c r="K40" s="44"/>
      <c r="L40" s="64"/>
      <c r="M40" s="64"/>
    </row>
    <row r="41" spans="1:13" ht="15.75" customHeight="1" x14ac:dyDescent="0.15">
      <c r="A41" s="13"/>
      <c r="B41" s="44" t="s">
        <v>98</v>
      </c>
      <c r="C41" s="45">
        <v>4</v>
      </c>
      <c r="D41" s="45" t="s">
        <v>173</v>
      </c>
      <c r="E41" s="45" t="s">
        <v>66</v>
      </c>
      <c r="F41" s="45" t="s">
        <v>37</v>
      </c>
      <c r="G41" s="45">
        <v>10</v>
      </c>
      <c r="H41" s="67" t="s">
        <v>174</v>
      </c>
      <c r="I41" s="65" t="s">
        <v>174</v>
      </c>
      <c r="J41" s="47" t="s">
        <v>175</v>
      </c>
      <c r="K41" s="48" t="s">
        <v>176</v>
      </c>
      <c r="L41" s="47" t="s">
        <v>176</v>
      </c>
      <c r="M41" s="66" t="s">
        <v>177</v>
      </c>
    </row>
    <row r="42" spans="1:13" ht="15.75" customHeight="1" x14ac:dyDescent="0.15">
      <c r="A42" s="13"/>
      <c r="B42" s="44" t="s">
        <v>105</v>
      </c>
      <c r="C42" s="45">
        <v>3</v>
      </c>
      <c r="D42" s="45" t="s">
        <v>178</v>
      </c>
      <c r="E42" s="45" t="s">
        <v>66</v>
      </c>
      <c r="F42" s="45" t="s">
        <v>37</v>
      </c>
      <c r="G42" s="45">
        <v>10</v>
      </c>
      <c r="H42" s="65" t="s">
        <v>179</v>
      </c>
      <c r="I42" s="65" t="s">
        <v>180</v>
      </c>
      <c r="J42" s="47" t="s">
        <v>181</v>
      </c>
      <c r="K42" s="47" t="s">
        <v>182</v>
      </c>
      <c r="L42" s="47" t="s">
        <v>183</v>
      </c>
      <c r="M42" s="66" t="s">
        <v>184</v>
      </c>
    </row>
    <row r="43" spans="1:13" ht="15.75" customHeight="1" x14ac:dyDescent="0.15">
      <c r="A43" s="13"/>
      <c r="B43" s="44" t="s">
        <v>114</v>
      </c>
      <c r="C43" s="45">
        <v>3</v>
      </c>
      <c r="D43" s="45" t="s">
        <v>71</v>
      </c>
      <c r="E43" s="45" t="s">
        <v>72</v>
      </c>
      <c r="F43" s="45" t="s">
        <v>37</v>
      </c>
      <c r="G43" s="45">
        <v>10</v>
      </c>
      <c r="H43" s="65">
        <v>15</v>
      </c>
      <c r="I43" s="67">
        <v>16</v>
      </c>
      <c r="J43" s="47">
        <v>16</v>
      </c>
      <c r="K43" s="47">
        <v>17.5</v>
      </c>
      <c r="L43" s="66">
        <v>17.5</v>
      </c>
      <c r="M43" s="66">
        <v>18</v>
      </c>
    </row>
    <row r="44" spans="1:13" ht="15.75" customHeight="1" x14ac:dyDescent="0.15">
      <c r="A44" s="13"/>
      <c r="B44" s="44"/>
      <c r="C44" s="44"/>
      <c r="D44" s="44"/>
      <c r="E44" s="44"/>
      <c r="F44" s="44"/>
      <c r="G44" s="44"/>
      <c r="H44" s="62"/>
      <c r="I44" s="62"/>
      <c r="J44" s="44"/>
      <c r="K44" s="44"/>
      <c r="L44" s="64"/>
      <c r="M44" s="64"/>
    </row>
    <row r="45" spans="1:13" ht="15.75" customHeight="1" x14ac:dyDescent="0.15">
      <c r="A45" s="13"/>
      <c r="B45" s="44" t="s">
        <v>115</v>
      </c>
      <c r="C45" s="45">
        <v>4</v>
      </c>
      <c r="D45" s="45" t="s">
        <v>173</v>
      </c>
      <c r="E45" s="45" t="s">
        <v>66</v>
      </c>
      <c r="F45" s="45" t="s">
        <v>37</v>
      </c>
      <c r="G45" s="45">
        <v>10</v>
      </c>
      <c r="H45" s="65" t="s">
        <v>185</v>
      </c>
      <c r="I45" s="65" t="s">
        <v>185</v>
      </c>
      <c r="J45" s="65" t="s">
        <v>185</v>
      </c>
      <c r="K45" s="47" t="s">
        <v>186</v>
      </c>
      <c r="L45" s="47" t="s">
        <v>187</v>
      </c>
      <c r="M45" s="66" t="s">
        <v>188</v>
      </c>
    </row>
    <row r="46" spans="1:13" ht="13" x14ac:dyDescent="0.15">
      <c r="A46" s="13"/>
      <c r="B46" s="44" t="s">
        <v>119</v>
      </c>
      <c r="C46" s="45">
        <v>3</v>
      </c>
      <c r="D46" s="45" t="s">
        <v>178</v>
      </c>
      <c r="E46" s="45" t="s">
        <v>66</v>
      </c>
      <c r="F46" s="45" t="s">
        <v>37</v>
      </c>
      <c r="G46" s="45">
        <v>10</v>
      </c>
      <c r="H46" s="67" t="s">
        <v>189</v>
      </c>
      <c r="I46" s="65" t="s">
        <v>189</v>
      </c>
      <c r="J46" s="48" t="s">
        <v>190</v>
      </c>
      <c r="K46" s="47" t="s">
        <v>190</v>
      </c>
      <c r="L46" s="48" t="s">
        <v>191</v>
      </c>
      <c r="M46" s="66" t="s">
        <v>192</v>
      </c>
    </row>
    <row r="47" spans="1:13" ht="13" x14ac:dyDescent="0.15">
      <c r="A47" s="13"/>
      <c r="B47" s="44" t="s">
        <v>123</v>
      </c>
      <c r="C47" s="45">
        <v>3</v>
      </c>
      <c r="D47" s="45" t="s">
        <v>71</v>
      </c>
      <c r="E47" s="45" t="s">
        <v>72</v>
      </c>
      <c r="F47" s="45" t="s">
        <v>37</v>
      </c>
      <c r="G47" s="45">
        <v>10</v>
      </c>
      <c r="H47" s="65">
        <v>50</v>
      </c>
      <c r="I47" s="67">
        <v>55</v>
      </c>
      <c r="J47" s="47">
        <v>55</v>
      </c>
      <c r="K47" s="48" t="s">
        <v>183</v>
      </c>
      <c r="L47" s="48">
        <v>65</v>
      </c>
      <c r="M47" s="66">
        <v>65</v>
      </c>
    </row>
    <row r="48" spans="1:13" ht="13" x14ac:dyDescent="0.15">
      <c r="H48" s="70"/>
      <c r="I48" s="70"/>
    </row>
    <row r="49" spans="1:13" ht="13" x14ac:dyDescent="0.15">
      <c r="H49" s="70"/>
      <c r="I49" s="70"/>
    </row>
    <row r="50" spans="1:13" ht="13" x14ac:dyDescent="0.15">
      <c r="A50" s="40" t="s">
        <v>113</v>
      </c>
      <c r="B50" s="40" t="s">
        <v>52</v>
      </c>
      <c r="C50" s="40" t="s">
        <v>53</v>
      </c>
      <c r="D50" s="40" t="s">
        <v>54</v>
      </c>
      <c r="E50" s="40" t="s">
        <v>55</v>
      </c>
      <c r="F50" s="40" t="s">
        <v>56</v>
      </c>
      <c r="G50" s="40" t="s">
        <v>57</v>
      </c>
      <c r="H50" s="71" t="s">
        <v>58</v>
      </c>
      <c r="I50" s="71" t="s">
        <v>59</v>
      </c>
      <c r="J50" s="40" t="s">
        <v>60</v>
      </c>
      <c r="K50" s="40" t="s">
        <v>61</v>
      </c>
      <c r="L50" s="40" t="s">
        <v>62</v>
      </c>
      <c r="M50" s="40" t="s">
        <v>63</v>
      </c>
    </row>
    <row r="51" spans="1:13" ht="13" x14ac:dyDescent="0.15">
      <c r="A51" s="13"/>
      <c r="B51" s="44"/>
      <c r="C51" s="44"/>
      <c r="D51" s="44"/>
      <c r="E51" s="44"/>
      <c r="F51" s="44"/>
      <c r="G51" s="44"/>
      <c r="H51" s="72"/>
      <c r="I51" s="72"/>
      <c r="J51" s="64"/>
      <c r="K51" s="64"/>
      <c r="L51" s="64"/>
      <c r="M51" s="64"/>
    </row>
    <row r="52" spans="1:13" ht="13" x14ac:dyDescent="0.15">
      <c r="A52" s="13"/>
      <c r="B52" s="44" t="s">
        <v>125</v>
      </c>
      <c r="C52" s="45">
        <v>4</v>
      </c>
      <c r="D52" s="45" t="s">
        <v>173</v>
      </c>
      <c r="E52" s="45" t="s">
        <v>66</v>
      </c>
      <c r="F52" s="45" t="s">
        <v>37</v>
      </c>
      <c r="G52" s="45">
        <v>10</v>
      </c>
      <c r="H52" s="75" t="s">
        <v>193</v>
      </c>
      <c r="I52" s="73" t="s">
        <v>193</v>
      </c>
      <c r="J52" s="64"/>
      <c r="K52" s="66" t="s">
        <v>194</v>
      </c>
      <c r="L52" s="74" t="s">
        <v>195</v>
      </c>
      <c r="M52" s="66" t="s">
        <v>195</v>
      </c>
    </row>
    <row r="53" spans="1:13" ht="13" x14ac:dyDescent="0.15">
      <c r="A53" s="13"/>
      <c r="B53" s="44" t="s">
        <v>129</v>
      </c>
      <c r="C53" s="45">
        <v>3</v>
      </c>
      <c r="D53" s="45" t="s">
        <v>178</v>
      </c>
      <c r="E53" s="45" t="s">
        <v>66</v>
      </c>
      <c r="F53" s="45" t="s">
        <v>37</v>
      </c>
      <c r="G53" s="45">
        <v>10</v>
      </c>
      <c r="H53" s="71" t="s">
        <v>130</v>
      </c>
      <c r="I53" s="73" t="s">
        <v>130</v>
      </c>
      <c r="J53" s="83"/>
      <c r="K53" s="74" t="s">
        <v>131</v>
      </c>
      <c r="L53" s="66" t="s">
        <v>131</v>
      </c>
      <c r="M53" s="66" t="s">
        <v>131</v>
      </c>
    </row>
    <row r="54" spans="1:13" ht="13" x14ac:dyDescent="0.15">
      <c r="A54" s="13"/>
      <c r="B54" s="44"/>
      <c r="C54" s="44"/>
      <c r="D54" s="44"/>
      <c r="E54" s="44"/>
      <c r="F54" s="44"/>
      <c r="G54" s="44"/>
      <c r="H54" s="72"/>
      <c r="I54" s="72"/>
      <c r="J54" s="64"/>
      <c r="K54" s="64"/>
      <c r="L54" s="64"/>
      <c r="M54" s="64"/>
    </row>
    <row r="55" spans="1:13" ht="13" x14ac:dyDescent="0.15">
      <c r="A55" s="13"/>
      <c r="B55" s="44" t="s">
        <v>132</v>
      </c>
      <c r="C55" s="45">
        <v>4</v>
      </c>
      <c r="D55" s="45" t="s">
        <v>173</v>
      </c>
      <c r="E55" s="45" t="s">
        <v>66</v>
      </c>
      <c r="F55" s="45" t="s">
        <v>37</v>
      </c>
      <c r="G55" s="45">
        <v>10</v>
      </c>
      <c r="H55" s="73" t="s">
        <v>196</v>
      </c>
      <c r="I55" s="73" t="s">
        <v>197</v>
      </c>
      <c r="J55" s="64"/>
      <c r="K55" s="66" t="s">
        <v>198</v>
      </c>
      <c r="L55" s="74" t="s">
        <v>199</v>
      </c>
      <c r="M55" s="66" t="s">
        <v>199</v>
      </c>
    </row>
    <row r="56" spans="1:13" ht="13" x14ac:dyDescent="0.15">
      <c r="A56" s="13"/>
      <c r="B56" s="44" t="s">
        <v>137</v>
      </c>
      <c r="C56" s="45">
        <v>3</v>
      </c>
      <c r="D56" s="45" t="s">
        <v>178</v>
      </c>
      <c r="E56" s="45" t="s">
        <v>66</v>
      </c>
      <c r="F56" s="45" t="s">
        <v>37</v>
      </c>
      <c r="G56" s="45">
        <v>10</v>
      </c>
      <c r="H56" s="79">
        <v>46301</v>
      </c>
      <c r="I56" s="72"/>
      <c r="J56" s="64"/>
      <c r="K56" s="57">
        <v>46301</v>
      </c>
      <c r="L56" s="84">
        <v>46362</v>
      </c>
      <c r="M56" s="84">
        <v>46362</v>
      </c>
    </row>
    <row r="57" spans="1:13" ht="13" x14ac:dyDescent="0.15">
      <c r="A57" s="13"/>
      <c r="B57" s="44"/>
      <c r="C57" s="44"/>
      <c r="D57" s="44"/>
      <c r="E57" s="44"/>
      <c r="F57" s="44"/>
      <c r="G57" s="44"/>
      <c r="H57" s="72"/>
      <c r="I57" s="72"/>
      <c r="J57" s="64"/>
      <c r="K57" s="64"/>
      <c r="L57" s="64"/>
      <c r="M57" s="64"/>
    </row>
    <row r="58" spans="1:13" ht="13" x14ac:dyDescent="0.15">
      <c r="A58" s="13"/>
      <c r="B58" s="44" t="s">
        <v>140</v>
      </c>
      <c r="C58" s="45">
        <v>4</v>
      </c>
      <c r="D58" s="45" t="s">
        <v>173</v>
      </c>
      <c r="E58" s="45" t="s">
        <v>66</v>
      </c>
      <c r="F58" s="45" t="s">
        <v>37</v>
      </c>
      <c r="G58" s="45">
        <v>10</v>
      </c>
      <c r="H58" s="75" t="s">
        <v>200</v>
      </c>
      <c r="I58" s="73" t="s">
        <v>201</v>
      </c>
      <c r="J58" s="64"/>
      <c r="K58" s="73" t="s">
        <v>201</v>
      </c>
      <c r="L58" s="66" t="s">
        <v>202</v>
      </c>
      <c r="M58" s="66" t="s">
        <v>202</v>
      </c>
    </row>
    <row r="59" spans="1:13" ht="13" x14ac:dyDescent="0.15">
      <c r="A59" s="13"/>
      <c r="B59" s="44" t="s">
        <v>147</v>
      </c>
      <c r="C59" s="45">
        <v>3</v>
      </c>
      <c r="D59" s="45" t="s">
        <v>178</v>
      </c>
      <c r="E59" s="45" t="s">
        <v>66</v>
      </c>
      <c r="F59" s="45" t="s">
        <v>37</v>
      </c>
      <c r="G59" s="45">
        <v>10</v>
      </c>
      <c r="H59" s="79">
        <v>46301</v>
      </c>
      <c r="I59" s="73" t="s">
        <v>203</v>
      </c>
      <c r="J59" s="83"/>
      <c r="K59" s="84">
        <v>46303</v>
      </c>
      <c r="L59" s="57">
        <v>46303</v>
      </c>
      <c r="M59" s="57">
        <v>46303</v>
      </c>
    </row>
    <row r="60" spans="1:13" ht="13" x14ac:dyDescent="0.15">
      <c r="H60" s="70"/>
      <c r="I60" s="70"/>
    </row>
    <row r="61" spans="1:13" ht="13" x14ac:dyDescent="0.15">
      <c r="H61" s="70"/>
      <c r="I61" s="70"/>
    </row>
    <row r="62" spans="1:13" ht="13" x14ac:dyDescent="0.15">
      <c r="A62" s="40" t="s">
        <v>124</v>
      </c>
      <c r="B62" s="40" t="s">
        <v>52</v>
      </c>
      <c r="C62" s="40" t="s">
        <v>53</v>
      </c>
      <c r="D62" s="40" t="s">
        <v>54</v>
      </c>
      <c r="E62" s="40" t="s">
        <v>55</v>
      </c>
      <c r="F62" s="40" t="s">
        <v>56</v>
      </c>
      <c r="G62" s="40" t="s">
        <v>57</v>
      </c>
      <c r="H62" s="71" t="s">
        <v>58</v>
      </c>
      <c r="I62" s="71" t="s">
        <v>59</v>
      </c>
      <c r="J62" s="40" t="s">
        <v>60</v>
      </c>
      <c r="K62" s="40" t="s">
        <v>61</v>
      </c>
      <c r="L62" s="40" t="s">
        <v>62</v>
      </c>
      <c r="M62" s="40" t="s">
        <v>63</v>
      </c>
    </row>
    <row r="63" spans="1:13" ht="13" x14ac:dyDescent="0.15">
      <c r="A63" s="13"/>
      <c r="B63" s="44"/>
      <c r="C63" s="44"/>
      <c r="D63" s="44"/>
      <c r="E63" s="44"/>
      <c r="F63" s="44"/>
      <c r="G63" s="44"/>
      <c r="H63" s="62"/>
      <c r="I63" s="62"/>
      <c r="J63" s="44"/>
      <c r="K63" s="44"/>
      <c r="L63" s="64"/>
      <c r="M63" s="64"/>
    </row>
    <row r="64" spans="1:13" ht="13" x14ac:dyDescent="0.15">
      <c r="A64" s="13"/>
      <c r="B64" s="44" t="s">
        <v>151</v>
      </c>
      <c r="C64" s="45">
        <v>4</v>
      </c>
      <c r="D64" s="45" t="s">
        <v>173</v>
      </c>
      <c r="E64" s="45" t="s">
        <v>66</v>
      </c>
      <c r="F64" s="45" t="s">
        <v>37</v>
      </c>
      <c r="G64" s="44">
        <v>10</v>
      </c>
      <c r="H64" s="67" t="s">
        <v>204</v>
      </c>
      <c r="I64" s="67" t="s">
        <v>204</v>
      </c>
      <c r="J64" s="44"/>
      <c r="K64" s="47" t="s">
        <v>205</v>
      </c>
      <c r="L64" s="47" t="s">
        <v>205</v>
      </c>
      <c r="M64" s="64"/>
    </row>
    <row r="65" spans="1:13" ht="13" x14ac:dyDescent="0.15">
      <c r="A65" s="13"/>
      <c r="B65" s="44" t="s">
        <v>153</v>
      </c>
      <c r="C65" s="45">
        <v>3</v>
      </c>
      <c r="D65" s="45" t="s">
        <v>178</v>
      </c>
      <c r="E65" s="45" t="s">
        <v>66</v>
      </c>
      <c r="F65" s="45" t="s">
        <v>37</v>
      </c>
      <c r="G65" s="44">
        <v>10</v>
      </c>
      <c r="H65" s="65" t="s">
        <v>206</v>
      </c>
      <c r="I65" s="65" t="s">
        <v>207</v>
      </c>
      <c r="J65" s="44"/>
      <c r="K65" s="48" t="s">
        <v>179</v>
      </c>
      <c r="L65" s="47" t="s">
        <v>208</v>
      </c>
      <c r="M65" s="44" t="s">
        <v>209</v>
      </c>
    </row>
    <row r="66" spans="1:13" ht="13" x14ac:dyDescent="0.15">
      <c r="A66" s="13"/>
      <c r="B66" s="44"/>
      <c r="C66" s="44"/>
      <c r="D66" s="44"/>
      <c r="E66" s="44"/>
      <c r="F66" s="44"/>
      <c r="G66" s="44"/>
      <c r="H66" s="62"/>
      <c r="I66" s="62"/>
      <c r="J66" s="44"/>
      <c r="K66" s="44"/>
      <c r="L66" s="44"/>
      <c r="M66" s="64"/>
    </row>
    <row r="67" spans="1:13" ht="13" x14ac:dyDescent="0.15">
      <c r="A67" s="13"/>
      <c r="B67" s="44" t="s">
        <v>157</v>
      </c>
      <c r="C67" s="45">
        <v>4</v>
      </c>
      <c r="D67" s="45" t="s">
        <v>173</v>
      </c>
      <c r="E67" s="45" t="s">
        <v>66</v>
      </c>
      <c r="F67" s="45" t="s">
        <v>37</v>
      </c>
      <c r="G67" s="44">
        <v>10</v>
      </c>
      <c r="H67" s="65" t="s">
        <v>210</v>
      </c>
      <c r="I67" s="65" t="s">
        <v>211</v>
      </c>
      <c r="J67" s="44"/>
      <c r="K67" s="48" t="s">
        <v>212</v>
      </c>
      <c r="L67" s="47" t="s">
        <v>213</v>
      </c>
      <c r="M67" s="66" t="s">
        <v>163</v>
      </c>
    </row>
    <row r="68" spans="1:13" ht="13" x14ac:dyDescent="0.15">
      <c r="A68" s="13"/>
      <c r="B68" s="44" t="s">
        <v>164</v>
      </c>
      <c r="C68" s="45">
        <v>3</v>
      </c>
      <c r="D68" s="45" t="s">
        <v>178</v>
      </c>
      <c r="E68" s="45" t="s">
        <v>66</v>
      </c>
      <c r="F68" s="45" t="s">
        <v>37</v>
      </c>
      <c r="G68" s="44">
        <v>10</v>
      </c>
      <c r="H68" s="67" t="s">
        <v>214</v>
      </c>
      <c r="I68" s="67" t="s">
        <v>214</v>
      </c>
      <c r="J68" s="44"/>
      <c r="K68" s="65" t="s">
        <v>214</v>
      </c>
      <c r="L68" s="48" t="s">
        <v>215</v>
      </c>
      <c r="M68" s="47" t="s">
        <v>215</v>
      </c>
    </row>
    <row r="69" spans="1:13" ht="13" x14ac:dyDescent="0.15">
      <c r="A69" s="13"/>
      <c r="B69" s="44"/>
      <c r="C69" s="44"/>
      <c r="D69" s="44"/>
      <c r="E69" s="44"/>
      <c r="F69" s="44"/>
      <c r="G69" s="44"/>
      <c r="H69" s="62"/>
      <c r="I69" s="62"/>
      <c r="J69" s="82"/>
      <c r="K69" s="82"/>
      <c r="L69" s="82"/>
      <c r="M69" s="64"/>
    </row>
    <row r="70" spans="1:13" ht="13" x14ac:dyDescent="0.15">
      <c r="A70" s="13"/>
      <c r="B70" s="44" t="s">
        <v>169</v>
      </c>
      <c r="C70" s="45">
        <v>4</v>
      </c>
      <c r="D70" s="45" t="s">
        <v>172</v>
      </c>
      <c r="E70" s="45" t="s">
        <v>72</v>
      </c>
      <c r="F70" s="45" t="s">
        <v>37</v>
      </c>
      <c r="G70" s="44">
        <v>10</v>
      </c>
      <c r="H70" s="65">
        <v>100</v>
      </c>
      <c r="I70" s="67">
        <v>110</v>
      </c>
      <c r="J70" s="44"/>
      <c r="K70" s="44"/>
      <c r="L70" s="44"/>
      <c r="M70" s="64"/>
    </row>
    <row r="71" spans="1:13" ht="13" x14ac:dyDescent="0.15">
      <c r="A71" s="13"/>
      <c r="B71" s="44" t="s">
        <v>171</v>
      </c>
      <c r="C71" s="45">
        <v>4</v>
      </c>
      <c r="D71" s="45" t="s">
        <v>172</v>
      </c>
      <c r="E71" s="45" t="s">
        <v>72</v>
      </c>
      <c r="F71" s="45" t="s">
        <v>37</v>
      </c>
      <c r="G71" s="44">
        <v>10</v>
      </c>
      <c r="H71" s="62"/>
      <c r="I71" s="62"/>
      <c r="J71" s="44"/>
      <c r="K71" s="44"/>
      <c r="L71" s="44"/>
      <c r="M71" s="64"/>
    </row>
    <row r="72" spans="1:13" ht="13" x14ac:dyDescent="0.15">
      <c r="H72" s="70"/>
      <c r="I72" s="70"/>
    </row>
    <row r="73" spans="1:13" ht="13" x14ac:dyDescent="0.15">
      <c r="H73" s="70"/>
      <c r="I73" s="70"/>
    </row>
    <row r="74" spans="1:13" ht="13" x14ac:dyDescent="0.15">
      <c r="H74" s="70"/>
      <c r="I74" s="70"/>
    </row>
    <row r="75" spans="1:13" ht="13" x14ac:dyDescent="0.15">
      <c r="H75" s="70"/>
      <c r="I75" s="70"/>
    </row>
    <row r="76" spans="1:13" ht="13" x14ac:dyDescent="0.15">
      <c r="H76" s="70"/>
      <c r="I76" s="70"/>
    </row>
    <row r="77" spans="1:13" ht="13" x14ac:dyDescent="0.15">
      <c r="H77" s="70"/>
      <c r="I77" s="70"/>
    </row>
    <row r="78" spans="1:13" ht="13" x14ac:dyDescent="0.15">
      <c r="H78" s="70"/>
      <c r="I78" s="70"/>
    </row>
    <row r="79" spans="1:13" ht="13" x14ac:dyDescent="0.15">
      <c r="H79" s="70"/>
      <c r="I79" s="70"/>
    </row>
    <row r="80" spans="1:13" ht="13" x14ac:dyDescent="0.15">
      <c r="H80" s="70"/>
      <c r="I80" s="70"/>
    </row>
    <row r="81" spans="8:9" ht="13" x14ac:dyDescent="0.15">
      <c r="H81" s="70"/>
      <c r="I81" s="70"/>
    </row>
    <row r="82" spans="8:9" ht="13" x14ac:dyDescent="0.15">
      <c r="H82" s="70"/>
      <c r="I82" s="70"/>
    </row>
    <row r="83" spans="8:9" ht="13" x14ac:dyDescent="0.15">
      <c r="H83" s="70"/>
      <c r="I83" s="70"/>
    </row>
    <row r="84" spans="8:9" ht="13" x14ac:dyDescent="0.15">
      <c r="H84" s="70"/>
      <c r="I84" s="70"/>
    </row>
    <row r="85" spans="8:9" ht="13" x14ac:dyDescent="0.15">
      <c r="H85" s="70"/>
      <c r="I85" s="70"/>
    </row>
    <row r="86" spans="8:9" ht="13" x14ac:dyDescent="0.15">
      <c r="H86" s="70"/>
      <c r="I86" s="70"/>
    </row>
    <row r="87" spans="8:9" ht="13" x14ac:dyDescent="0.15">
      <c r="H87" s="70"/>
      <c r="I87" s="70"/>
    </row>
    <row r="88" spans="8:9" ht="13" x14ac:dyDescent="0.15">
      <c r="H88" s="70"/>
      <c r="I88" s="70"/>
    </row>
    <row r="89" spans="8:9" ht="13" x14ac:dyDescent="0.15">
      <c r="H89" s="70"/>
      <c r="I89" s="70"/>
    </row>
    <row r="90" spans="8:9" ht="13" x14ac:dyDescent="0.15">
      <c r="H90" s="70"/>
      <c r="I90" s="70"/>
    </row>
    <row r="91" spans="8:9" ht="13" x14ac:dyDescent="0.15">
      <c r="H91" s="70"/>
      <c r="I91" s="70"/>
    </row>
    <row r="92" spans="8:9" ht="13" x14ac:dyDescent="0.15">
      <c r="H92" s="70"/>
      <c r="I92" s="70"/>
    </row>
    <row r="93" spans="8:9" ht="13" x14ac:dyDescent="0.15">
      <c r="H93" s="70"/>
      <c r="I93" s="70"/>
    </row>
    <row r="94" spans="8:9" ht="13" x14ac:dyDescent="0.15">
      <c r="H94" s="70"/>
      <c r="I94" s="70"/>
    </row>
    <row r="95" spans="8:9" ht="13" x14ac:dyDescent="0.15">
      <c r="H95" s="70"/>
      <c r="I95" s="70"/>
    </row>
    <row r="96" spans="8:9" ht="13" x14ac:dyDescent="0.15">
      <c r="H96" s="70"/>
      <c r="I96" s="70"/>
    </row>
    <row r="97" spans="8:9" ht="13" x14ac:dyDescent="0.15">
      <c r="H97" s="70"/>
      <c r="I97" s="70"/>
    </row>
    <row r="98" spans="8:9" ht="13" x14ac:dyDescent="0.15">
      <c r="H98" s="70"/>
      <c r="I98" s="70"/>
    </row>
    <row r="99" spans="8:9" ht="13" x14ac:dyDescent="0.15">
      <c r="H99" s="70"/>
      <c r="I99" s="70"/>
    </row>
    <row r="100" spans="8:9" ht="13" x14ac:dyDescent="0.15">
      <c r="H100" s="70"/>
      <c r="I100" s="70"/>
    </row>
    <row r="101" spans="8:9" ht="13" x14ac:dyDescent="0.15">
      <c r="H101" s="70"/>
      <c r="I101" s="70"/>
    </row>
    <row r="102" spans="8:9" ht="13" x14ac:dyDescent="0.15">
      <c r="H102" s="70"/>
      <c r="I102" s="70"/>
    </row>
    <row r="103" spans="8:9" ht="13" x14ac:dyDescent="0.15">
      <c r="H103" s="70"/>
      <c r="I103" s="70"/>
    </row>
    <row r="104" spans="8:9" ht="13" x14ac:dyDescent="0.15">
      <c r="H104" s="70"/>
      <c r="I104" s="70"/>
    </row>
    <row r="105" spans="8:9" ht="13" x14ac:dyDescent="0.15">
      <c r="H105" s="70"/>
      <c r="I105" s="70"/>
    </row>
    <row r="106" spans="8:9" ht="13" x14ac:dyDescent="0.15">
      <c r="H106" s="70"/>
      <c r="I106" s="70"/>
    </row>
    <row r="107" spans="8:9" ht="13" x14ac:dyDescent="0.15">
      <c r="H107" s="70"/>
      <c r="I107" s="70"/>
    </row>
    <row r="108" spans="8:9" ht="13" x14ac:dyDescent="0.15">
      <c r="H108" s="70"/>
      <c r="I108" s="70"/>
    </row>
    <row r="109" spans="8:9" ht="13" x14ac:dyDescent="0.15">
      <c r="H109" s="70"/>
      <c r="I109" s="70"/>
    </row>
    <row r="110" spans="8:9" ht="13" x14ac:dyDescent="0.15">
      <c r="H110" s="70"/>
      <c r="I110" s="70"/>
    </row>
    <row r="111" spans="8:9" ht="13" x14ac:dyDescent="0.15">
      <c r="H111" s="70"/>
      <c r="I111" s="70"/>
    </row>
    <row r="112" spans="8:9" ht="13" x14ac:dyDescent="0.15">
      <c r="H112" s="70"/>
      <c r="I112" s="70"/>
    </row>
    <row r="113" spans="8:9" ht="13" x14ac:dyDescent="0.15">
      <c r="H113" s="70"/>
      <c r="I113" s="70"/>
    </row>
    <row r="114" spans="8:9" ht="13" x14ac:dyDescent="0.15">
      <c r="H114" s="70"/>
      <c r="I114" s="70"/>
    </row>
    <row r="115" spans="8:9" ht="13" x14ac:dyDescent="0.15">
      <c r="H115" s="70"/>
      <c r="I115" s="70"/>
    </row>
    <row r="116" spans="8:9" ht="13" x14ac:dyDescent="0.15">
      <c r="H116" s="70"/>
      <c r="I116" s="70"/>
    </row>
    <row r="117" spans="8:9" ht="13" x14ac:dyDescent="0.15">
      <c r="H117" s="70"/>
      <c r="I117" s="70"/>
    </row>
    <row r="118" spans="8:9" ht="13" x14ac:dyDescent="0.15">
      <c r="H118" s="70"/>
      <c r="I118" s="70"/>
    </row>
    <row r="119" spans="8:9" ht="13" x14ac:dyDescent="0.15">
      <c r="H119" s="70"/>
      <c r="I119" s="70"/>
    </row>
    <row r="120" spans="8:9" ht="13" x14ac:dyDescent="0.15">
      <c r="H120" s="70"/>
      <c r="I120" s="70"/>
    </row>
    <row r="121" spans="8:9" ht="13" x14ac:dyDescent="0.15">
      <c r="H121" s="70"/>
      <c r="I121" s="70"/>
    </row>
    <row r="122" spans="8:9" ht="13" x14ac:dyDescent="0.15">
      <c r="H122" s="70"/>
      <c r="I122" s="70"/>
    </row>
    <row r="123" spans="8:9" ht="13" x14ac:dyDescent="0.15">
      <c r="H123" s="70"/>
      <c r="I123" s="70"/>
    </row>
    <row r="124" spans="8:9" ht="13" x14ac:dyDescent="0.15">
      <c r="H124" s="70"/>
      <c r="I124" s="70"/>
    </row>
    <row r="125" spans="8:9" ht="13" x14ac:dyDescent="0.15">
      <c r="H125" s="70"/>
      <c r="I125" s="70"/>
    </row>
    <row r="126" spans="8:9" ht="13" x14ac:dyDescent="0.15">
      <c r="H126" s="70"/>
      <c r="I126" s="70"/>
    </row>
    <row r="127" spans="8:9" ht="13" x14ac:dyDescent="0.15">
      <c r="H127" s="70"/>
      <c r="I127" s="70"/>
    </row>
    <row r="128" spans="8:9" ht="13" x14ac:dyDescent="0.15">
      <c r="H128" s="70"/>
      <c r="I128" s="70"/>
    </row>
    <row r="129" spans="8:9" ht="13" x14ac:dyDescent="0.15">
      <c r="H129" s="70"/>
      <c r="I129" s="70"/>
    </row>
    <row r="130" spans="8:9" ht="13" x14ac:dyDescent="0.15">
      <c r="H130" s="70"/>
      <c r="I130" s="70"/>
    </row>
    <row r="131" spans="8:9" ht="13" x14ac:dyDescent="0.15">
      <c r="H131" s="70"/>
      <c r="I131" s="70"/>
    </row>
    <row r="132" spans="8:9" ht="13" x14ac:dyDescent="0.15">
      <c r="H132" s="70"/>
      <c r="I132" s="70"/>
    </row>
    <row r="133" spans="8:9" ht="13" x14ac:dyDescent="0.15">
      <c r="H133" s="70"/>
      <c r="I133" s="70"/>
    </row>
    <row r="134" spans="8:9" ht="13" x14ac:dyDescent="0.15">
      <c r="H134" s="70"/>
      <c r="I134" s="70"/>
    </row>
    <row r="135" spans="8:9" ht="13" x14ac:dyDescent="0.15">
      <c r="H135" s="70"/>
      <c r="I135" s="70"/>
    </row>
    <row r="136" spans="8:9" ht="13" x14ac:dyDescent="0.15">
      <c r="H136" s="70"/>
      <c r="I136" s="70"/>
    </row>
    <row r="137" spans="8:9" ht="13" x14ac:dyDescent="0.15">
      <c r="H137" s="70"/>
      <c r="I137" s="70"/>
    </row>
    <row r="138" spans="8:9" ht="13" x14ac:dyDescent="0.15">
      <c r="H138" s="70"/>
      <c r="I138" s="70"/>
    </row>
    <row r="139" spans="8:9" ht="13" x14ac:dyDescent="0.15">
      <c r="H139" s="70"/>
      <c r="I139" s="70"/>
    </row>
    <row r="140" spans="8:9" ht="13" x14ac:dyDescent="0.15">
      <c r="H140" s="70"/>
      <c r="I140" s="70"/>
    </row>
    <row r="141" spans="8:9" ht="13" x14ac:dyDescent="0.15">
      <c r="H141" s="70"/>
      <c r="I141" s="70"/>
    </row>
    <row r="142" spans="8:9" ht="13" x14ac:dyDescent="0.15">
      <c r="H142" s="70"/>
      <c r="I142" s="70"/>
    </row>
    <row r="143" spans="8:9" ht="13" x14ac:dyDescent="0.15">
      <c r="H143" s="70"/>
      <c r="I143" s="70"/>
    </row>
    <row r="144" spans="8:9" ht="13" x14ac:dyDescent="0.15">
      <c r="H144" s="70"/>
      <c r="I144" s="70"/>
    </row>
    <row r="145" spans="8:9" ht="13" x14ac:dyDescent="0.15">
      <c r="H145" s="70"/>
      <c r="I145" s="70"/>
    </row>
    <row r="146" spans="8:9" ht="13" x14ac:dyDescent="0.15">
      <c r="H146" s="70"/>
      <c r="I146" s="70"/>
    </row>
    <row r="147" spans="8:9" ht="13" x14ac:dyDescent="0.15">
      <c r="H147" s="70"/>
      <c r="I147" s="70"/>
    </row>
    <row r="148" spans="8:9" ht="13" x14ac:dyDescent="0.15">
      <c r="H148" s="70"/>
      <c r="I148" s="70"/>
    </row>
    <row r="149" spans="8:9" ht="13" x14ac:dyDescent="0.15">
      <c r="H149" s="70"/>
      <c r="I149" s="70"/>
    </row>
    <row r="150" spans="8:9" ht="13" x14ac:dyDescent="0.15">
      <c r="H150" s="70"/>
      <c r="I150" s="70"/>
    </row>
    <row r="151" spans="8:9" ht="13" x14ac:dyDescent="0.15">
      <c r="H151" s="70"/>
      <c r="I151" s="70"/>
    </row>
    <row r="152" spans="8:9" ht="13" x14ac:dyDescent="0.15">
      <c r="H152" s="70"/>
      <c r="I152" s="70"/>
    </row>
    <row r="153" spans="8:9" ht="13" x14ac:dyDescent="0.15">
      <c r="H153" s="70"/>
      <c r="I153" s="70"/>
    </row>
    <row r="154" spans="8:9" ht="13" x14ac:dyDescent="0.15">
      <c r="H154" s="70"/>
      <c r="I154" s="70"/>
    </row>
    <row r="155" spans="8:9" ht="13" x14ac:dyDescent="0.15">
      <c r="H155" s="70"/>
      <c r="I155" s="70"/>
    </row>
    <row r="156" spans="8:9" ht="13" x14ac:dyDescent="0.15">
      <c r="H156" s="70"/>
      <c r="I156" s="70"/>
    </row>
    <row r="157" spans="8:9" ht="13" x14ac:dyDescent="0.15">
      <c r="H157" s="70"/>
      <c r="I157" s="70"/>
    </row>
    <row r="158" spans="8:9" ht="13" x14ac:dyDescent="0.15">
      <c r="H158" s="70"/>
      <c r="I158" s="70"/>
    </row>
    <row r="159" spans="8:9" ht="13" x14ac:dyDescent="0.15">
      <c r="H159" s="70"/>
      <c r="I159" s="70"/>
    </row>
    <row r="160" spans="8:9" ht="13" x14ac:dyDescent="0.15">
      <c r="H160" s="70"/>
      <c r="I160" s="70"/>
    </row>
    <row r="161" spans="8:9" ht="13" x14ac:dyDescent="0.15">
      <c r="H161" s="70"/>
      <c r="I161" s="70"/>
    </row>
    <row r="162" spans="8:9" ht="13" x14ac:dyDescent="0.15">
      <c r="H162" s="70"/>
      <c r="I162" s="70"/>
    </row>
    <row r="163" spans="8:9" ht="13" x14ac:dyDescent="0.15">
      <c r="H163" s="70"/>
      <c r="I163" s="70"/>
    </row>
    <row r="164" spans="8:9" ht="13" x14ac:dyDescent="0.15">
      <c r="H164" s="70"/>
      <c r="I164" s="70"/>
    </row>
    <row r="165" spans="8:9" ht="13" x14ac:dyDescent="0.15">
      <c r="H165" s="70"/>
      <c r="I165" s="70"/>
    </row>
    <row r="166" spans="8:9" ht="13" x14ac:dyDescent="0.15">
      <c r="H166" s="70"/>
      <c r="I166" s="70"/>
    </row>
    <row r="167" spans="8:9" ht="13" x14ac:dyDescent="0.15">
      <c r="H167" s="70"/>
      <c r="I167" s="70"/>
    </row>
    <row r="168" spans="8:9" ht="13" x14ac:dyDescent="0.15">
      <c r="H168" s="70"/>
      <c r="I168" s="70"/>
    </row>
    <row r="169" spans="8:9" ht="13" x14ac:dyDescent="0.15">
      <c r="H169" s="70"/>
      <c r="I169" s="70"/>
    </row>
    <row r="170" spans="8:9" ht="13" x14ac:dyDescent="0.15">
      <c r="H170" s="70"/>
      <c r="I170" s="70"/>
    </row>
    <row r="171" spans="8:9" ht="13" x14ac:dyDescent="0.15">
      <c r="H171" s="70"/>
      <c r="I171" s="70"/>
    </row>
    <row r="172" spans="8:9" ht="13" x14ac:dyDescent="0.15">
      <c r="H172" s="70"/>
      <c r="I172" s="70"/>
    </row>
    <row r="173" spans="8:9" ht="13" x14ac:dyDescent="0.15">
      <c r="H173" s="70"/>
      <c r="I173" s="70"/>
    </row>
    <row r="174" spans="8:9" ht="13" x14ac:dyDescent="0.15">
      <c r="H174" s="70"/>
      <c r="I174" s="70"/>
    </row>
    <row r="175" spans="8:9" ht="13" x14ac:dyDescent="0.15">
      <c r="H175" s="70"/>
      <c r="I175" s="70"/>
    </row>
    <row r="176" spans="8:9" ht="13" x14ac:dyDescent="0.15">
      <c r="H176" s="70"/>
      <c r="I176" s="70"/>
    </row>
    <row r="177" spans="8:9" ht="13" x14ac:dyDescent="0.15">
      <c r="H177" s="70"/>
      <c r="I177" s="70"/>
    </row>
    <row r="178" spans="8:9" ht="13" x14ac:dyDescent="0.15">
      <c r="H178" s="70"/>
      <c r="I178" s="70"/>
    </row>
    <row r="179" spans="8:9" ht="13" x14ac:dyDescent="0.15">
      <c r="H179" s="70"/>
      <c r="I179" s="70"/>
    </row>
    <row r="180" spans="8:9" ht="13" x14ac:dyDescent="0.15">
      <c r="H180" s="70"/>
      <c r="I180" s="70"/>
    </row>
    <row r="181" spans="8:9" ht="13" x14ac:dyDescent="0.15">
      <c r="H181" s="70"/>
      <c r="I181" s="70"/>
    </row>
    <row r="182" spans="8:9" ht="13" x14ac:dyDescent="0.15">
      <c r="H182" s="70"/>
      <c r="I182" s="70"/>
    </row>
    <row r="183" spans="8:9" ht="13" x14ac:dyDescent="0.15">
      <c r="H183" s="70"/>
      <c r="I183" s="70"/>
    </row>
    <row r="184" spans="8:9" ht="13" x14ac:dyDescent="0.15">
      <c r="H184" s="70"/>
      <c r="I184" s="70"/>
    </row>
    <row r="185" spans="8:9" ht="13" x14ac:dyDescent="0.15">
      <c r="H185" s="70"/>
      <c r="I185" s="70"/>
    </row>
    <row r="186" spans="8:9" ht="13" x14ac:dyDescent="0.15">
      <c r="H186" s="70"/>
      <c r="I186" s="70"/>
    </row>
    <row r="187" spans="8:9" ht="13" x14ac:dyDescent="0.15">
      <c r="H187" s="70"/>
      <c r="I187" s="70"/>
    </row>
    <row r="188" spans="8:9" ht="13" x14ac:dyDescent="0.15">
      <c r="H188" s="70"/>
      <c r="I188" s="70"/>
    </row>
    <row r="189" spans="8:9" ht="13" x14ac:dyDescent="0.15">
      <c r="H189" s="70"/>
      <c r="I189" s="70"/>
    </row>
    <row r="190" spans="8:9" ht="13" x14ac:dyDescent="0.15">
      <c r="H190" s="70"/>
      <c r="I190" s="70"/>
    </row>
    <row r="191" spans="8:9" ht="13" x14ac:dyDescent="0.15">
      <c r="H191" s="70"/>
      <c r="I191" s="70"/>
    </row>
    <row r="192" spans="8:9" ht="13" x14ac:dyDescent="0.15">
      <c r="H192" s="70"/>
      <c r="I192" s="70"/>
    </row>
    <row r="193" spans="8:9" ht="13" x14ac:dyDescent="0.15">
      <c r="H193" s="70"/>
      <c r="I193" s="70"/>
    </row>
    <row r="194" spans="8:9" ht="13" x14ac:dyDescent="0.15">
      <c r="H194" s="70"/>
      <c r="I194" s="70"/>
    </row>
    <row r="195" spans="8:9" ht="13" x14ac:dyDescent="0.15">
      <c r="H195" s="70"/>
      <c r="I195" s="70"/>
    </row>
    <row r="196" spans="8:9" ht="13" x14ac:dyDescent="0.15">
      <c r="H196" s="70"/>
      <c r="I196" s="70"/>
    </row>
    <row r="197" spans="8:9" ht="13" x14ac:dyDescent="0.15">
      <c r="H197" s="70"/>
      <c r="I197" s="70"/>
    </row>
    <row r="198" spans="8:9" ht="13" x14ac:dyDescent="0.15">
      <c r="H198" s="70"/>
      <c r="I198" s="70"/>
    </row>
    <row r="199" spans="8:9" ht="13" x14ac:dyDescent="0.15">
      <c r="H199" s="70"/>
      <c r="I199" s="70"/>
    </row>
    <row r="200" spans="8:9" ht="13" x14ac:dyDescent="0.15">
      <c r="H200" s="70"/>
      <c r="I200" s="70"/>
    </row>
    <row r="201" spans="8:9" ht="13" x14ac:dyDescent="0.15">
      <c r="H201" s="70"/>
      <c r="I201" s="70"/>
    </row>
    <row r="202" spans="8:9" ht="13" x14ac:dyDescent="0.15">
      <c r="H202" s="70"/>
      <c r="I202" s="70"/>
    </row>
    <row r="203" spans="8:9" ht="13" x14ac:dyDescent="0.15">
      <c r="H203" s="70"/>
      <c r="I203" s="70"/>
    </row>
    <row r="204" spans="8:9" ht="13" x14ac:dyDescent="0.15">
      <c r="H204" s="70"/>
      <c r="I204" s="70"/>
    </row>
    <row r="205" spans="8:9" ht="13" x14ac:dyDescent="0.15">
      <c r="H205" s="70"/>
      <c r="I205" s="70"/>
    </row>
    <row r="206" spans="8:9" ht="13" x14ac:dyDescent="0.15">
      <c r="H206" s="70"/>
      <c r="I206" s="70"/>
    </row>
    <row r="207" spans="8:9" ht="13" x14ac:dyDescent="0.15">
      <c r="H207" s="70"/>
      <c r="I207" s="70"/>
    </row>
    <row r="208" spans="8:9" ht="13" x14ac:dyDescent="0.15">
      <c r="H208" s="70"/>
      <c r="I208" s="70"/>
    </row>
    <row r="209" spans="8:9" ht="13" x14ac:dyDescent="0.15">
      <c r="H209" s="70"/>
      <c r="I209" s="70"/>
    </row>
    <row r="210" spans="8:9" ht="13" x14ac:dyDescent="0.15">
      <c r="H210" s="70"/>
      <c r="I210" s="70"/>
    </row>
    <row r="211" spans="8:9" ht="13" x14ac:dyDescent="0.15">
      <c r="H211" s="70"/>
      <c r="I211" s="70"/>
    </row>
    <row r="212" spans="8:9" ht="13" x14ac:dyDescent="0.15">
      <c r="H212" s="70"/>
      <c r="I212" s="70"/>
    </row>
    <row r="213" spans="8:9" ht="13" x14ac:dyDescent="0.15">
      <c r="H213" s="70"/>
      <c r="I213" s="70"/>
    </row>
    <row r="214" spans="8:9" ht="13" x14ac:dyDescent="0.15">
      <c r="H214" s="70"/>
      <c r="I214" s="70"/>
    </row>
    <row r="215" spans="8:9" ht="13" x14ac:dyDescent="0.15">
      <c r="H215" s="70"/>
      <c r="I215" s="70"/>
    </row>
    <row r="216" spans="8:9" ht="13" x14ac:dyDescent="0.15">
      <c r="H216" s="70"/>
      <c r="I216" s="70"/>
    </row>
    <row r="217" spans="8:9" ht="13" x14ac:dyDescent="0.15">
      <c r="H217" s="70"/>
      <c r="I217" s="70"/>
    </row>
    <row r="218" spans="8:9" ht="13" x14ac:dyDescent="0.15">
      <c r="H218" s="70"/>
      <c r="I218" s="70"/>
    </row>
    <row r="219" spans="8:9" ht="13" x14ac:dyDescent="0.15">
      <c r="H219" s="70"/>
      <c r="I219" s="70"/>
    </row>
    <row r="220" spans="8:9" ht="13" x14ac:dyDescent="0.15">
      <c r="H220" s="70"/>
      <c r="I220" s="70"/>
    </row>
    <row r="221" spans="8:9" ht="13" x14ac:dyDescent="0.15">
      <c r="H221" s="70"/>
      <c r="I221" s="70"/>
    </row>
    <row r="222" spans="8:9" ht="13" x14ac:dyDescent="0.15">
      <c r="H222" s="70"/>
      <c r="I222" s="70"/>
    </row>
    <row r="223" spans="8:9" ht="13" x14ac:dyDescent="0.15">
      <c r="H223" s="70"/>
      <c r="I223" s="70"/>
    </row>
    <row r="224" spans="8:9" ht="13" x14ac:dyDescent="0.15">
      <c r="H224" s="70"/>
      <c r="I224" s="70"/>
    </row>
    <row r="225" spans="8:9" ht="13" x14ac:dyDescent="0.15">
      <c r="H225" s="70"/>
      <c r="I225" s="70"/>
    </row>
    <row r="226" spans="8:9" ht="13" x14ac:dyDescent="0.15">
      <c r="H226" s="70"/>
      <c r="I226" s="70"/>
    </row>
    <row r="227" spans="8:9" ht="13" x14ac:dyDescent="0.15">
      <c r="H227" s="70"/>
      <c r="I227" s="70"/>
    </row>
    <row r="228" spans="8:9" ht="13" x14ac:dyDescent="0.15">
      <c r="H228" s="70"/>
      <c r="I228" s="70"/>
    </row>
    <row r="229" spans="8:9" ht="13" x14ac:dyDescent="0.15">
      <c r="H229" s="70"/>
      <c r="I229" s="70"/>
    </row>
    <row r="230" spans="8:9" ht="13" x14ac:dyDescent="0.15">
      <c r="H230" s="70"/>
      <c r="I230" s="70"/>
    </row>
    <row r="231" spans="8:9" ht="13" x14ac:dyDescent="0.15">
      <c r="H231" s="70"/>
      <c r="I231" s="70"/>
    </row>
    <row r="232" spans="8:9" ht="13" x14ac:dyDescent="0.15">
      <c r="H232" s="70"/>
      <c r="I232" s="70"/>
    </row>
    <row r="233" spans="8:9" ht="13" x14ac:dyDescent="0.15">
      <c r="H233" s="70"/>
      <c r="I233" s="70"/>
    </row>
    <row r="234" spans="8:9" ht="13" x14ac:dyDescent="0.15">
      <c r="H234" s="70"/>
      <c r="I234" s="70"/>
    </row>
    <row r="235" spans="8:9" ht="13" x14ac:dyDescent="0.15">
      <c r="H235" s="70"/>
      <c r="I235" s="70"/>
    </row>
    <row r="236" spans="8:9" ht="13" x14ac:dyDescent="0.15">
      <c r="H236" s="70"/>
      <c r="I236" s="70"/>
    </row>
    <row r="237" spans="8:9" ht="13" x14ac:dyDescent="0.15">
      <c r="H237" s="70"/>
      <c r="I237" s="70"/>
    </row>
    <row r="238" spans="8:9" ht="13" x14ac:dyDescent="0.15">
      <c r="H238" s="70"/>
      <c r="I238" s="70"/>
    </row>
    <row r="239" spans="8:9" ht="13" x14ac:dyDescent="0.15">
      <c r="H239" s="70"/>
      <c r="I239" s="70"/>
    </row>
    <row r="240" spans="8:9" ht="13" x14ac:dyDescent="0.15">
      <c r="H240" s="70"/>
      <c r="I240" s="70"/>
    </row>
    <row r="241" spans="8:9" ht="13" x14ac:dyDescent="0.15">
      <c r="H241" s="70"/>
      <c r="I241" s="70"/>
    </row>
    <row r="242" spans="8:9" ht="13" x14ac:dyDescent="0.15">
      <c r="H242" s="70"/>
      <c r="I242" s="70"/>
    </row>
    <row r="243" spans="8:9" ht="13" x14ac:dyDescent="0.15">
      <c r="H243" s="70"/>
      <c r="I243" s="70"/>
    </row>
    <row r="244" spans="8:9" ht="13" x14ac:dyDescent="0.15">
      <c r="H244" s="70"/>
      <c r="I244" s="70"/>
    </row>
    <row r="245" spans="8:9" ht="13" x14ac:dyDescent="0.15">
      <c r="H245" s="70"/>
      <c r="I245" s="70"/>
    </row>
    <row r="246" spans="8:9" ht="13" x14ac:dyDescent="0.15">
      <c r="H246" s="70"/>
      <c r="I246" s="70"/>
    </row>
    <row r="247" spans="8:9" ht="13" x14ac:dyDescent="0.15">
      <c r="H247" s="70"/>
      <c r="I247" s="70"/>
    </row>
    <row r="248" spans="8:9" ht="13" x14ac:dyDescent="0.15">
      <c r="H248" s="70"/>
      <c r="I248" s="70"/>
    </row>
    <row r="249" spans="8:9" ht="13" x14ac:dyDescent="0.15">
      <c r="H249" s="70"/>
      <c r="I249" s="70"/>
    </row>
    <row r="250" spans="8:9" ht="13" x14ac:dyDescent="0.15">
      <c r="H250" s="70"/>
      <c r="I250" s="70"/>
    </row>
    <row r="251" spans="8:9" ht="13" x14ac:dyDescent="0.15">
      <c r="H251" s="70"/>
      <c r="I251" s="70"/>
    </row>
    <row r="252" spans="8:9" ht="13" x14ac:dyDescent="0.15">
      <c r="H252" s="70"/>
      <c r="I252" s="70"/>
    </row>
    <row r="253" spans="8:9" ht="13" x14ac:dyDescent="0.15">
      <c r="H253" s="70"/>
      <c r="I253" s="70"/>
    </row>
    <row r="254" spans="8:9" ht="13" x14ac:dyDescent="0.15">
      <c r="H254" s="70"/>
      <c r="I254" s="70"/>
    </row>
    <row r="255" spans="8:9" ht="13" x14ac:dyDescent="0.15">
      <c r="H255" s="70"/>
      <c r="I255" s="70"/>
    </row>
    <row r="256" spans="8:9" ht="13" x14ac:dyDescent="0.15">
      <c r="H256" s="70"/>
      <c r="I256" s="70"/>
    </row>
    <row r="257" spans="8:9" ht="13" x14ac:dyDescent="0.15">
      <c r="H257" s="70"/>
      <c r="I257" s="70"/>
    </row>
    <row r="258" spans="8:9" ht="13" x14ac:dyDescent="0.15">
      <c r="H258" s="70"/>
      <c r="I258" s="70"/>
    </row>
    <row r="259" spans="8:9" ht="13" x14ac:dyDescent="0.15">
      <c r="H259" s="70"/>
      <c r="I259" s="70"/>
    </row>
    <row r="260" spans="8:9" ht="13" x14ac:dyDescent="0.15">
      <c r="H260" s="70"/>
      <c r="I260" s="70"/>
    </row>
    <row r="261" spans="8:9" ht="13" x14ac:dyDescent="0.15">
      <c r="H261" s="70"/>
      <c r="I261" s="70"/>
    </row>
    <row r="262" spans="8:9" ht="13" x14ac:dyDescent="0.15">
      <c r="H262" s="70"/>
      <c r="I262" s="70"/>
    </row>
    <row r="263" spans="8:9" ht="13" x14ac:dyDescent="0.15">
      <c r="H263" s="70"/>
      <c r="I263" s="70"/>
    </row>
    <row r="264" spans="8:9" ht="13" x14ac:dyDescent="0.15">
      <c r="H264" s="70"/>
      <c r="I264" s="70"/>
    </row>
    <row r="265" spans="8:9" ht="13" x14ac:dyDescent="0.15">
      <c r="H265" s="70"/>
      <c r="I265" s="70"/>
    </row>
    <row r="266" spans="8:9" ht="13" x14ac:dyDescent="0.15">
      <c r="H266" s="70"/>
      <c r="I266" s="70"/>
    </row>
    <row r="267" spans="8:9" ht="13" x14ac:dyDescent="0.15">
      <c r="H267" s="70"/>
      <c r="I267" s="70"/>
    </row>
    <row r="268" spans="8:9" ht="13" x14ac:dyDescent="0.15">
      <c r="H268" s="70"/>
      <c r="I268" s="70"/>
    </row>
    <row r="269" spans="8:9" ht="13" x14ac:dyDescent="0.15">
      <c r="H269" s="70"/>
      <c r="I269" s="70"/>
    </row>
    <row r="270" spans="8:9" ht="13" x14ac:dyDescent="0.15">
      <c r="H270" s="70"/>
      <c r="I270" s="70"/>
    </row>
    <row r="271" spans="8:9" ht="13" x14ac:dyDescent="0.15">
      <c r="H271" s="70"/>
      <c r="I271" s="70"/>
    </row>
    <row r="272" spans="8:9" ht="13" x14ac:dyDescent="0.15">
      <c r="H272" s="70"/>
      <c r="I272" s="70"/>
    </row>
    <row r="273" spans="8:9" ht="13" x14ac:dyDescent="0.15">
      <c r="H273" s="70"/>
      <c r="I273" s="70"/>
    </row>
    <row r="274" spans="8:9" ht="13" x14ac:dyDescent="0.15">
      <c r="H274" s="70"/>
      <c r="I274" s="70"/>
    </row>
    <row r="275" spans="8:9" ht="13" x14ac:dyDescent="0.15">
      <c r="H275" s="70"/>
      <c r="I275" s="70"/>
    </row>
    <row r="276" spans="8:9" ht="13" x14ac:dyDescent="0.15">
      <c r="H276" s="70"/>
      <c r="I276" s="70"/>
    </row>
    <row r="277" spans="8:9" ht="13" x14ac:dyDescent="0.15">
      <c r="H277" s="70"/>
      <c r="I277" s="70"/>
    </row>
    <row r="278" spans="8:9" ht="13" x14ac:dyDescent="0.15">
      <c r="H278" s="70"/>
      <c r="I278" s="70"/>
    </row>
    <row r="279" spans="8:9" ht="13" x14ac:dyDescent="0.15">
      <c r="H279" s="70"/>
      <c r="I279" s="70"/>
    </row>
    <row r="280" spans="8:9" ht="13" x14ac:dyDescent="0.15">
      <c r="H280" s="70"/>
      <c r="I280" s="70"/>
    </row>
    <row r="281" spans="8:9" ht="13" x14ac:dyDescent="0.15">
      <c r="H281" s="70"/>
      <c r="I281" s="70"/>
    </row>
    <row r="282" spans="8:9" ht="13" x14ac:dyDescent="0.15">
      <c r="H282" s="70"/>
      <c r="I282" s="70"/>
    </row>
    <row r="283" spans="8:9" ht="13" x14ac:dyDescent="0.15">
      <c r="H283" s="70"/>
      <c r="I283" s="70"/>
    </row>
    <row r="284" spans="8:9" ht="13" x14ac:dyDescent="0.15">
      <c r="H284" s="70"/>
      <c r="I284" s="70"/>
    </row>
    <row r="285" spans="8:9" ht="13" x14ac:dyDescent="0.15">
      <c r="H285" s="70"/>
      <c r="I285" s="70"/>
    </row>
    <row r="286" spans="8:9" ht="13" x14ac:dyDescent="0.15">
      <c r="H286" s="70"/>
      <c r="I286" s="70"/>
    </row>
    <row r="287" spans="8:9" ht="13" x14ac:dyDescent="0.15">
      <c r="H287" s="70"/>
      <c r="I287" s="70"/>
    </row>
    <row r="288" spans="8:9" ht="13" x14ac:dyDescent="0.15">
      <c r="H288" s="70"/>
      <c r="I288" s="70"/>
    </row>
    <row r="289" spans="8:9" ht="13" x14ac:dyDescent="0.15">
      <c r="H289" s="70"/>
      <c r="I289" s="70"/>
    </row>
    <row r="290" spans="8:9" ht="13" x14ac:dyDescent="0.15">
      <c r="H290" s="70"/>
      <c r="I290" s="70"/>
    </row>
    <row r="291" spans="8:9" ht="13" x14ac:dyDescent="0.15">
      <c r="H291" s="70"/>
      <c r="I291" s="70"/>
    </row>
    <row r="292" spans="8:9" ht="13" x14ac:dyDescent="0.15">
      <c r="H292" s="70"/>
      <c r="I292" s="70"/>
    </row>
    <row r="293" spans="8:9" ht="13" x14ac:dyDescent="0.15">
      <c r="H293" s="70"/>
      <c r="I293" s="70"/>
    </row>
    <row r="294" spans="8:9" ht="13" x14ac:dyDescent="0.15">
      <c r="H294" s="70"/>
      <c r="I294" s="70"/>
    </row>
    <row r="295" spans="8:9" ht="13" x14ac:dyDescent="0.15">
      <c r="H295" s="70"/>
      <c r="I295" s="70"/>
    </row>
    <row r="296" spans="8:9" ht="13" x14ac:dyDescent="0.15">
      <c r="H296" s="70"/>
      <c r="I296" s="70"/>
    </row>
    <row r="297" spans="8:9" ht="13" x14ac:dyDescent="0.15">
      <c r="H297" s="70"/>
      <c r="I297" s="70"/>
    </row>
    <row r="298" spans="8:9" ht="13" x14ac:dyDescent="0.15">
      <c r="H298" s="70"/>
      <c r="I298" s="70"/>
    </row>
    <row r="299" spans="8:9" ht="13" x14ac:dyDescent="0.15">
      <c r="H299" s="70"/>
      <c r="I299" s="70"/>
    </row>
    <row r="300" spans="8:9" ht="13" x14ac:dyDescent="0.15">
      <c r="H300" s="70"/>
      <c r="I300" s="70"/>
    </row>
    <row r="301" spans="8:9" ht="13" x14ac:dyDescent="0.15">
      <c r="H301" s="70"/>
      <c r="I301" s="70"/>
    </row>
    <row r="302" spans="8:9" ht="13" x14ac:dyDescent="0.15">
      <c r="H302" s="70"/>
      <c r="I302" s="70"/>
    </row>
    <row r="303" spans="8:9" ht="13" x14ac:dyDescent="0.15">
      <c r="H303" s="70"/>
      <c r="I303" s="70"/>
    </row>
    <row r="304" spans="8:9" ht="13" x14ac:dyDescent="0.15">
      <c r="H304" s="70"/>
      <c r="I304" s="70"/>
    </row>
    <row r="305" spans="8:9" ht="13" x14ac:dyDescent="0.15">
      <c r="H305" s="70"/>
      <c r="I305" s="70"/>
    </row>
    <row r="306" spans="8:9" ht="13" x14ac:dyDescent="0.15">
      <c r="H306" s="70"/>
      <c r="I306" s="70"/>
    </row>
    <row r="307" spans="8:9" ht="13" x14ac:dyDescent="0.15">
      <c r="H307" s="70"/>
      <c r="I307" s="70"/>
    </row>
    <row r="308" spans="8:9" ht="13" x14ac:dyDescent="0.15">
      <c r="H308" s="70"/>
      <c r="I308" s="70"/>
    </row>
    <row r="309" spans="8:9" ht="13" x14ac:dyDescent="0.15">
      <c r="H309" s="70"/>
      <c r="I309" s="70"/>
    </row>
    <row r="310" spans="8:9" ht="13" x14ac:dyDescent="0.15">
      <c r="H310" s="70"/>
      <c r="I310" s="70"/>
    </row>
    <row r="311" spans="8:9" ht="13" x14ac:dyDescent="0.15">
      <c r="H311" s="70"/>
      <c r="I311" s="70"/>
    </row>
    <row r="312" spans="8:9" ht="13" x14ac:dyDescent="0.15">
      <c r="H312" s="70"/>
      <c r="I312" s="70"/>
    </row>
    <row r="313" spans="8:9" ht="13" x14ac:dyDescent="0.15">
      <c r="H313" s="70"/>
      <c r="I313" s="70"/>
    </row>
    <row r="314" spans="8:9" ht="13" x14ac:dyDescent="0.15">
      <c r="H314" s="70"/>
      <c r="I314" s="70"/>
    </row>
    <row r="315" spans="8:9" ht="13" x14ac:dyDescent="0.15">
      <c r="H315" s="70"/>
      <c r="I315" s="70"/>
    </row>
    <row r="316" spans="8:9" ht="13" x14ac:dyDescent="0.15">
      <c r="H316" s="70"/>
      <c r="I316" s="70"/>
    </row>
    <row r="317" spans="8:9" ht="13" x14ac:dyDescent="0.15">
      <c r="H317" s="70"/>
      <c r="I317" s="70"/>
    </row>
    <row r="318" spans="8:9" ht="13" x14ac:dyDescent="0.15">
      <c r="H318" s="70"/>
      <c r="I318" s="70"/>
    </row>
    <row r="319" spans="8:9" ht="13" x14ac:dyDescent="0.15">
      <c r="H319" s="70"/>
      <c r="I319" s="70"/>
    </row>
    <row r="320" spans="8:9" ht="13" x14ac:dyDescent="0.15">
      <c r="H320" s="70"/>
      <c r="I320" s="70"/>
    </row>
    <row r="321" spans="8:9" ht="13" x14ac:dyDescent="0.15">
      <c r="H321" s="70"/>
      <c r="I321" s="70"/>
    </row>
    <row r="322" spans="8:9" ht="13" x14ac:dyDescent="0.15">
      <c r="H322" s="70"/>
      <c r="I322" s="70"/>
    </row>
    <row r="323" spans="8:9" ht="13" x14ac:dyDescent="0.15">
      <c r="H323" s="70"/>
      <c r="I323" s="70"/>
    </row>
    <row r="324" spans="8:9" ht="13" x14ac:dyDescent="0.15">
      <c r="H324" s="70"/>
      <c r="I324" s="70"/>
    </row>
    <row r="325" spans="8:9" ht="13" x14ac:dyDescent="0.15">
      <c r="H325" s="70"/>
      <c r="I325" s="70"/>
    </row>
    <row r="326" spans="8:9" ht="13" x14ac:dyDescent="0.15">
      <c r="H326" s="70"/>
      <c r="I326" s="70"/>
    </row>
    <row r="327" spans="8:9" ht="13" x14ac:dyDescent="0.15">
      <c r="H327" s="70"/>
      <c r="I327" s="70"/>
    </row>
    <row r="328" spans="8:9" ht="13" x14ac:dyDescent="0.15">
      <c r="H328" s="70"/>
      <c r="I328" s="70"/>
    </row>
    <row r="329" spans="8:9" ht="13" x14ac:dyDescent="0.15">
      <c r="H329" s="70"/>
      <c r="I329" s="70"/>
    </row>
    <row r="330" spans="8:9" ht="13" x14ac:dyDescent="0.15">
      <c r="H330" s="70"/>
      <c r="I330" s="70"/>
    </row>
    <row r="331" spans="8:9" ht="13" x14ac:dyDescent="0.15">
      <c r="H331" s="70"/>
      <c r="I331" s="70"/>
    </row>
    <row r="332" spans="8:9" ht="13" x14ac:dyDescent="0.15">
      <c r="H332" s="70"/>
      <c r="I332" s="70"/>
    </row>
    <row r="333" spans="8:9" ht="13" x14ac:dyDescent="0.15">
      <c r="H333" s="70"/>
      <c r="I333" s="70"/>
    </row>
    <row r="334" spans="8:9" ht="13" x14ac:dyDescent="0.15">
      <c r="H334" s="70"/>
      <c r="I334" s="70"/>
    </row>
    <row r="335" spans="8:9" ht="13" x14ac:dyDescent="0.15">
      <c r="H335" s="70"/>
      <c r="I335" s="70"/>
    </row>
    <row r="336" spans="8:9" ht="13" x14ac:dyDescent="0.15">
      <c r="H336" s="70"/>
      <c r="I336" s="70"/>
    </row>
    <row r="337" spans="8:9" ht="13" x14ac:dyDescent="0.15">
      <c r="H337" s="70"/>
      <c r="I337" s="70"/>
    </row>
    <row r="338" spans="8:9" ht="13" x14ac:dyDescent="0.15">
      <c r="H338" s="70"/>
      <c r="I338" s="70"/>
    </row>
    <row r="339" spans="8:9" ht="13" x14ac:dyDescent="0.15">
      <c r="H339" s="70"/>
      <c r="I339" s="70"/>
    </row>
    <row r="340" spans="8:9" ht="13" x14ac:dyDescent="0.15">
      <c r="H340" s="70"/>
      <c r="I340" s="70"/>
    </row>
    <row r="341" spans="8:9" ht="13" x14ac:dyDescent="0.15">
      <c r="H341" s="70"/>
      <c r="I341" s="70"/>
    </row>
    <row r="342" spans="8:9" ht="13" x14ac:dyDescent="0.15">
      <c r="H342" s="70"/>
      <c r="I342" s="70"/>
    </row>
    <row r="343" spans="8:9" ht="13" x14ac:dyDescent="0.15">
      <c r="H343" s="70"/>
      <c r="I343" s="70"/>
    </row>
    <row r="344" spans="8:9" ht="13" x14ac:dyDescent="0.15">
      <c r="H344" s="70"/>
      <c r="I344" s="70"/>
    </row>
    <row r="345" spans="8:9" ht="13" x14ac:dyDescent="0.15">
      <c r="H345" s="70"/>
      <c r="I345" s="70"/>
    </row>
    <row r="346" spans="8:9" ht="13" x14ac:dyDescent="0.15">
      <c r="H346" s="70"/>
      <c r="I346" s="70"/>
    </row>
    <row r="347" spans="8:9" ht="13" x14ac:dyDescent="0.15">
      <c r="H347" s="70"/>
      <c r="I347" s="70"/>
    </row>
    <row r="348" spans="8:9" ht="13" x14ac:dyDescent="0.15">
      <c r="H348" s="70"/>
      <c r="I348" s="70"/>
    </row>
    <row r="349" spans="8:9" ht="13" x14ac:dyDescent="0.15">
      <c r="H349" s="70"/>
      <c r="I349" s="70"/>
    </row>
    <row r="350" spans="8:9" ht="13" x14ac:dyDescent="0.15">
      <c r="H350" s="70"/>
      <c r="I350" s="70"/>
    </row>
    <row r="351" spans="8:9" ht="13" x14ac:dyDescent="0.15">
      <c r="H351" s="70"/>
      <c r="I351" s="70"/>
    </row>
    <row r="352" spans="8:9" ht="13" x14ac:dyDescent="0.15">
      <c r="H352" s="70"/>
      <c r="I352" s="70"/>
    </row>
    <row r="353" spans="8:9" ht="13" x14ac:dyDescent="0.15">
      <c r="H353" s="70"/>
      <c r="I353" s="70"/>
    </row>
    <row r="354" spans="8:9" ht="13" x14ac:dyDescent="0.15">
      <c r="H354" s="70"/>
      <c r="I354" s="70"/>
    </row>
    <row r="355" spans="8:9" ht="13" x14ac:dyDescent="0.15">
      <c r="H355" s="70"/>
      <c r="I355" s="70"/>
    </row>
    <row r="356" spans="8:9" ht="13" x14ac:dyDescent="0.15">
      <c r="H356" s="70"/>
      <c r="I356" s="70"/>
    </row>
    <row r="357" spans="8:9" ht="13" x14ac:dyDescent="0.15">
      <c r="H357" s="70"/>
      <c r="I357" s="70"/>
    </row>
    <row r="358" spans="8:9" ht="13" x14ac:dyDescent="0.15">
      <c r="H358" s="70"/>
      <c r="I358" s="70"/>
    </row>
    <row r="359" spans="8:9" ht="13" x14ac:dyDescent="0.15">
      <c r="H359" s="70"/>
      <c r="I359" s="70"/>
    </row>
    <row r="360" spans="8:9" ht="13" x14ac:dyDescent="0.15">
      <c r="H360" s="70"/>
      <c r="I360" s="70"/>
    </row>
    <row r="361" spans="8:9" ht="13" x14ac:dyDescent="0.15">
      <c r="H361" s="70"/>
      <c r="I361" s="70"/>
    </row>
    <row r="362" spans="8:9" ht="13" x14ac:dyDescent="0.15">
      <c r="H362" s="70"/>
      <c r="I362" s="70"/>
    </row>
    <row r="363" spans="8:9" ht="13" x14ac:dyDescent="0.15">
      <c r="H363" s="70"/>
      <c r="I363" s="70"/>
    </row>
    <row r="364" spans="8:9" ht="13" x14ac:dyDescent="0.15">
      <c r="H364" s="70"/>
      <c r="I364" s="70"/>
    </row>
    <row r="365" spans="8:9" ht="13" x14ac:dyDescent="0.15">
      <c r="H365" s="70"/>
      <c r="I365" s="70"/>
    </row>
    <row r="366" spans="8:9" ht="13" x14ac:dyDescent="0.15">
      <c r="H366" s="70"/>
      <c r="I366" s="70"/>
    </row>
    <row r="367" spans="8:9" ht="13" x14ac:dyDescent="0.15">
      <c r="H367" s="70"/>
      <c r="I367" s="70"/>
    </row>
    <row r="368" spans="8:9" ht="13" x14ac:dyDescent="0.15">
      <c r="H368" s="70"/>
      <c r="I368" s="70"/>
    </row>
    <row r="369" spans="8:9" ht="13" x14ac:dyDescent="0.15">
      <c r="H369" s="70"/>
      <c r="I369" s="70"/>
    </row>
    <row r="370" spans="8:9" ht="13" x14ac:dyDescent="0.15">
      <c r="H370" s="70"/>
      <c r="I370" s="70"/>
    </row>
    <row r="371" spans="8:9" ht="13" x14ac:dyDescent="0.15">
      <c r="H371" s="70"/>
      <c r="I371" s="70"/>
    </row>
    <row r="372" spans="8:9" ht="13" x14ac:dyDescent="0.15">
      <c r="H372" s="70"/>
      <c r="I372" s="70"/>
    </row>
    <row r="373" spans="8:9" ht="13" x14ac:dyDescent="0.15">
      <c r="H373" s="70"/>
      <c r="I373" s="70"/>
    </row>
    <row r="374" spans="8:9" ht="13" x14ac:dyDescent="0.15">
      <c r="H374" s="70"/>
      <c r="I374" s="70"/>
    </row>
    <row r="375" spans="8:9" ht="13" x14ac:dyDescent="0.15">
      <c r="H375" s="70"/>
      <c r="I375" s="70"/>
    </row>
    <row r="376" spans="8:9" ht="13" x14ac:dyDescent="0.15">
      <c r="H376" s="70"/>
      <c r="I376" s="70"/>
    </row>
    <row r="377" spans="8:9" ht="13" x14ac:dyDescent="0.15">
      <c r="H377" s="70"/>
      <c r="I377" s="70"/>
    </row>
    <row r="378" spans="8:9" ht="13" x14ac:dyDescent="0.15">
      <c r="H378" s="70"/>
      <c r="I378" s="70"/>
    </row>
    <row r="379" spans="8:9" ht="13" x14ac:dyDescent="0.15">
      <c r="H379" s="70"/>
      <c r="I379" s="70"/>
    </row>
    <row r="380" spans="8:9" ht="13" x14ac:dyDescent="0.15">
      <c r="H380" s="70"/>
      <c r="I380" s="70"/>
    </row>
    <row r="381" spans="8:9" ht="13" x14ac:dyDescent="0.15">
      <c r="H381" s="70"/>
      <c r="I381" s="70"/>
    </row>
    <row r="382" spans="8:9" ht="13" x14ac:dyDescent="0.15">
      <c r="H382" s="70"/>
      <c r="I382" s="70"/>
    </row>
    <row r="383" spans="8:9" ht="13" x14ac:dyDescent="0.15">
      <c r="H383" s="70"/>
      <c r="I383" s="70"/>
    </row>
    <row r="384" spans="8:9" ht="13" x14ac:dyDescent="0.15">
      <c r="H384" s="70"/>
      <c r="I384" s="70"/>
    </row>
    <row r="385" spans="8:9" ht="13" x14ac:dyDescent="0.15">
      <c r="H385" s="70"/>
      <c r="I385" s="70"/>
    </row>
    <row r="386" spans="8:9" ht="13" x14ac:dyDescent="0.15">
      <c r="H386" s="70"/>
      <c r="I386" s="70"/>
    </row>
    <row r="387" spans="8:9" ht="13" x14ac:dyDescent="0.15">
      <c r="H387" s="70"/>
      <c r="I387" s="70"/>
    </row>
    <row r="388" spans="8:9" ht="13" x14ac:dyDescent="0.15">
      <c r="H388" s="70"/>
      <c r="I388" s="70"/>
    </row>
    <row r="389" spans="8:9" ht="13" x14ac:dyDescent="0.15">
      <c r="H389" s="70"/>
      <c r="I389" s="70"/>
    </row>
    <row r="390" spans="8:9" ht="13" x14ac:dyDescent="0.15">
      <c r="H390" s="70"/>
      <c r="I390" s="70"/>
    </row>
    <row r="391" spans="8:9" ht="13" x14ac:dyDescent="0.15">
      <c r="H391" s="70"/>
      <c r="I391" s="70"/>
    </row>
    <row r="392" spans="8:9" ht="13" x14ac:dyDescent="0.15">
      <c r="H392" s="70"/>
      <c r="I392" s="70"/>
    </row>
    <row r="393" spans="8:9" ht="13" x14ac:dyDescent="0.15">
      <c r="H393" s="70"/>
      <c r="I393" s="70"/>
    </row>
    <row r="394" spans="8:9" ht="13" x14ac:dyDescent="0.15">
      <c r="H394" s="70"/>
      <c r="I394" s="70"/>
    </row>
    <row r="395" spans="8:9" ht="13" x14ac:dyDescent="0.15">
      <c r="H395" s="70"/>
      <c r="I395" s="70"/>
    </row>
    <row r="396" spans="8:9" ht="13" x14ac:dyDescent="0.15">
      <c r="H396" s="70"/>
      <c r="I396" s="70"/>
    </row>
    <row r="397" spans="8:9" ht="13" x14ac:dyDescent="0.15">
      <c r="H397" s="70"/>
      <c r="I397" s="70"/>
    </row>
    <row r="398" spans="8:9" ht="13" x14ac:dyDescent="0.15">
      <c r="H398" s="70"/>
      <c r="I398" s="70"/>
    </row>
    <row r="399" spans="8:9" ht="13" x14ac:dyDescent="0.15">
      <c r="H399" s="70"/>
      <c r="I399" s="70"/>
    </row>
    <row r="400" spans="8:9" ht="13" x14ac:dyDescent="0.15">
      <c r="H400" s="70"/>
      <c r="I400" s="70"/>
    </row>
    <row r="401" spans="8:9" ht="13" x14ac:dyDescent="0.15">
      <c r="H401" s="70"/>
      <c r="I401" s="70"/>
    </row>
    <row r="402" spans="8:9" ht="13" x14ac:dyDescent="0.15">
      <c r="H402" s="70"/>
      <c r="I402" s="70"/>
    </row>
    <row r="403" spans="8:9" ht="13" x14ac:dyDescent="0.15">
      <c r="H403" s="70"/>
      <c r="I403" s="70"/>
    </row>
    <row r="404" spans="8:9" ht="13" x14ac:dyDescent="0.15">
      <c r="H404" s="70"/>
      <c r="I404" s="70"/>
    </row>
    <row r="405" spans="8:9" ht="13" x14ac:dyDescent="0.15">
      <c r="H405" s="70"/>
      <c r="I405" s="70"/>
    </row>
    <row r="406" spans="8:9" ht="13" x14ac:dyDescent="0.15">
      <c r="H406" s="70"/>
      <c r="I406" s="70"/>
    </row>
    <row r="407" spans="8:9" ht="13" x14ac:dyDescent="0.15">
      <c r="H407" s="70"/>
      <c r="I407" s="70"/>
    </row>
    <row r="408" spans="8:9" ht="13" x14ac:dyDescent="0.15">
      <c r="H408" s="70"/>
      <c r="I408" s="70"/>
    </row>
    <row r="409" spans="8:9" ht="13" x14ac:dyDescent="0.15">
      <c r="H409" s="70"/>
      <c r="I409" s="70"/>
    </row>
    <row r="410" spans="8:9" ht="13" x14ac:dyDescent="0.15">
      <c r="H410" s="70"/>
      <c r="I410" s="70"/>
    </row>
    <row r="411" spans="8:9" ht="13" x14ac:dyDescent="0.15">
      <c r="H411" s="70"/>
      <c r="I411" s="70"/>
    </row>
    <row r="412" spans="8:9" ht="13" x14ac:dyDescent="0.15">
      <c r="H412" s="70"/>
      <c r="I412" s="70"/>
    </row>
    <row r="413" spans="8:9" ht="13" x14ac:dyDescent="0.15">
      <c r="H413" s="70"/>
      <c r="I413" s="70"/>
    </row>
    <row r="414" spans="8:9" ht="13" x14ac:dyDescent="0.15">
      <c r="H414" s="70"/>
      <c r="I414" s="70"/>
    </row>
    <row r="415" spans="8:9" ht="13" x14ac:dyDescent="0.15">
      <c r="H415" s="70"/>
      <c r="I415" s="70"/>
    </row>
    <row r="416" spans="8:9" ht="13" x14ac:dyDescent="0.15">
      <c r="H416" s="70"/>
      <c r="I416" s="70"/>
    </row>
    <row r="417" spans="8:9" ht="13" x14ac:dyDescent="0.15">
      <c r="H417" s="70"/>
      <c r="I417" s="70"/>
    </row>
    <row r="418" spans="8:9" ht="13" x14ac:dyDescent="0.15">
      <c r="H418" s="70"/>
      <c r="I418" s="70"/>
    </row>
    <row r="419" spans="8:9" ht="13" x14ac:dyDescent="0.15">
      <c r="H419" s="70"/>
      <c r="I419" s="70"/>
    </row>
    <row r="420" spans="8:9" ht="13" x14ac:dyDescent="0.15">
      <c r="H420" s="70"/>
      <c r="I420" s="70"/>
    </row>
    <row r="421" spans="8:9" ht="13" x14ac:dyDescent="0.15">
      <c r="H421" s="70"/>
      <c r="I421" s="70"/>
    </row>
    <row r="422" spans="8:9" ht="13" x14ac:dyDescent="0.15">
      <c r="H422" s="70"/>
      <c r="I422" s="70"/>
    </row>
    <row r="423" spans="8:9" ht="13" x14ac:dyDescent="0.15">
      <c r="H423" s="70"/>
      <c r="I423" s="70"/>
    </row>
    <row r="424" spans="8:9" ht="13" x14ac:dyDescent="0.15">
      <c r="H424" s="70"/>
      <c r="I424" s="70"/>
    </row>
    <row r="425" spans="8:9" ht="13" x14ac:dyDescent="0.15">
      <c r="H425" s="70"/>
      <c r="I425" s="70"/>
    </row>
    <row r="426" spans="8:9" ht="13" x14ac:dyDescent="0.15">
      <c r="H426" s="70"/>
      <c r="I426" s="70"/>
    </row>
    <row r="427" spans="8:9" ht="13" x14ac:dyDescent="0.15">
      <c r="H427" s="70"/>
      <c r="I427" s="70"/>
    </row>
    <row r="428" spans="8:9" ht="13" x14ac:dyDescent="0.15">
      <c r="H428" s="70"/>
      <c r="I428" s="70"/>
    </row>
    <row r="429" spans="8:9" ht="13" x14ac:dyDescent="0.15">
      <c r="H429" s="70"/>
      <c r="I429" s="70"/>
    </row>
    <row r="430" spans="8:9" ht="13" x14ac:dyDescent="0.15">
      <c r="H430" s="70"/>
      <c r="I430" s="70"/>
    </row>
    <row r="431" spans="8:9" ht="13" x14ac:dyDescent="0.15">
      <c r="H431" s="70"/>
      <c r="I431" s="70"/>
    </row>
    <row r="432" spans="8:9" ht="13" x14ac:dyDescent="0.15">
      <c r="H432" s="70"/>
      <c r="I432" s="70"/>
    </row>
    <row r="433" spans="8:9" ht="13" x14ac:dyDescent="0.15">
      <c r="H433" s="70"/>
      <c r="I433" s="70"/>
    </row>
    <row r="434" spans="8:9" ht="13" x14ac:dyDescent="0.15">
      <c r="H434" s="70"/>
      <c r="I434" s="70"/>
    </row>
    <row r="435" spans="8:9" ht="13" x14ac:dyDescent="0.15">
      <c r="H435" s="70"/>
      <c r="I435" s="70"/>
    </row>
    <row r="436" spans="8:9" ht="13" x14ac:dyDescent="0.15">
      <c r="H436" s="70"/>
      <c r="I436" s="70"/>
    </row>
    <row r="437" spans="8:9" ht="13" x14ac:dyDescent="0.15">
      <c r="H437" s="70"/>
      <c r="I437" s="70"/>
    </row>
    <row r="438" spans="8:9" ht="13" x14ac:dyDescent="0.15">
      <c r="H438" s="70"/>
      <c r="I438" s="70"/>
    </row>
    <row r="439" spans="8:9" ht="13" x14ac:dyDescent="0.15">
      <c r="H439" s="70"/>
      <c r="I439" s="70"/>
    </row>
    <row r="440" spans="8:9" ht="13" x14ac:dyDescent="0.15">
      <c r="H440" s="70"/>
      <c r="I440" s="70"/>
    </row>
    <row r="441" spans="8:9" ht="13" x14ac:dyDescent="0.15">
      <c r="H441" s="70"/>
      <c r="I441" s="70"/>
    </row>
    <row r="442" spans="8:9" ht="13" x14ac:dyDescent="0.15">
      <c r="H442" s="70"/>
      <c r="I442" s="70"/>
    </row>
    <row r="443" spans="8:9" ht="13" x14ac:dyDescent="0.15">
      <c r="H443" s="70"/>
      <c r="I443" s="70"/>
    </row>
    <row r="444" spans="8:9" ht="13" x14ac:dyDescent="0.15">
      <c r="H444" s="70"/>
      <c r="I444" s="70"/>
    </row>
    <row r="445" spans="8:9" ht="13" x14ac:dyDescent="0.15">
      <c r="H445" s="70"/>
      <c r="I445" s="70"/>
    </row>
    <row r="446" spans="8:9" ht="13" x14ac:dyDescent="0.15">
      <c r="H446" s="70"/>
      <c r="I446" s="70"/>
    </row>
    <row r="447" spans="8:9" ht="13" x14ac:dyDescent="0.15">
      <c r="H447" s="70"/>
      <c r="I447" s="70"/>
    </row>
    <row r="448" spans="8:9" ht="13" x14ac:dyDescent="0.15">
      <c r="H448" s="70"/>
      <c r="I448" s="70"/>
    </row>
    <row r="449" spans="8:9" ht="13" x14ac:dyDescent="0.15">
      <c r="H449" s="70"/>
      <c r="I449" s="70"/>
    </row>
    <row r="450" spans="8:9" ht="13" x14ac:dyDescent="0.15">
      <c r="H450" s="70"/>
      <c r="I450" s="70"/>
    </row>
    <row r="451" spans="8:9" ht="13" x14ac:dyDescent="0.15">
      <c r="H451" s="70"/>
      <c r="I451" s="70"/>
    </row>
    <row r="452" spans="8:9" ht="13" x14ac:dyDescent="0.15">
      <c r="H452" s="70"/>
      <c r="I452" s="70"/>
    </row>
    <row r="453" spans="8:9" ht="13" x14ac:dyDescent="0.15">
      <c r="H453" s="70"/>
      <c r="I453" s="70"/>
    </row>
    <row r="454" spans="8:9" ht="13" x14ac:dyDescent="0.15">
      <c r="H454" s="70"/>
      <c r="I454" s="70"/>
    </row>
    <row r="455" spans="8:9" ht="13" x14ac:dyDescent="0.15">
      <c r="H455" s="70"/>
      <c r="I455" s="70"/>
    </row>
    <row r="456" spans="8:9" ht="13" x14ac:dyDescent="0.15">
      <c r="H456" s="70"/>
      <c r="I456" s="70"/>
    </row>
    <row r="457" spans="8:9" ht="13" x14ac:dyDescent="0.15">
      <c r="H457" s="70"/>
      <c r="I457" s="70"/>
    </row>
    <row r="458" spans="8:9" ht="13" x14ac:dyDescent="0.15">
      <c r="H458" s="70"/>
      <c r="I458" s="70"/>
    </row>
    <row r="459" spans="8:9" ht="13" x14ac:dyDescent="0.15">
      <c r="H459" s="70"/>
      <c r="I459" s="70"/>
    </row>
    <row r="460" spans="8:9" ht="13" x14ac:dyDescent="0.15">
      <c r="H460" s="70"/>
      <c r="I460" s="70"/>
    </row>
    <row r="461" spans="8:9" ht="13" x14ac:dyDescent="0.15">
      <c r="H461" s="70"/>
      <c r="I461" s="70"/>
    </row>
    <row r="462" spans="8:9" ht="13" x14ac:dyDescent="0.15">
      <c r="H462" s="70"/>
      <c r="I462" s="70"/>
    </row>
    <row r="463" spans="8:9" ht="13" x14ac:dyDescent="0.15">
      <c r="H463" s="70"/>
      <c r="I463" s="70"/>
    </row>
    <row r="464" spans="8:9" ht="13" x14ac:dyDescent="0.15">
      <c r="H464" s="70"/>
      <c r="I464" s="70"/>
    </row>
    <row r="465" spans="8:9" ht="13" x14ac:dyDescent="0.15">
      <c r="H465" s="70"/>
      <c r="I465" s="70"/>
    </row>
    <row r="466" spans="8:9" ht="13" x14ac:dyDescent="0.15">
      <c r="H466" s="70"/>
      <c r="I466" s="70"/>
    </row>
    <row r="467" spans="8:9" ht="13" x14ac:dyDescent="0.15">
      <c r="H467" s="70"/>
      <c r="I467" s="70"/>
    </row>
    <row r="468" spans="8:9" ht="13" x14ac:dyDescent="0.15">
      <c r="H468" s="70"/>
      <c r="I468" s="70"/>
    </row>
    <row r="469" spans="8:9" ht="13" x14ac:dyDescent="0.15">
      <c r="H469" s="70"/>
      <c r="I469" s="70"/>
    </row>
    <row r="470" spans="8:9" ht="13" x14ac:dyDescent="0.15">
      <c r="H470" s="70"/>
      <c r="I470" s="70"/>
    </row>
    <row r="471" spans="8:9" ht="13" x14ac:dyDescent="0.15">
      <c r="H471" s="70"/>
      <c r="I471" s="70"/>
    </row>
    <row r="472" spans="8:9" ht="13" x14ac:dyDescent="0.15">
      <c r="H472" s="70"/>
      <c r="I472" s="70"/>
    </row>
    <row r="473" spans="8:9" ht="13" x14ac:dyDescent="0.15">
      <c r="H473" s="70"/>
      <c r="I473" s="70"/>
    </row>
    <row r="474" spans="8:9" ht="13" x14ac:dyDescent="0.15">
      <c r="H474" s="70"/>
      <c r="I474" s="70"/>
    </row>
    <row r="475" spans="8:9" ht="13" x14ac:dyDescent="0.15">
      <c r="H475" s="70"/>
      <c r="I475" s="70"/>
    </row>
    <row r="476" spans="8:9" ht="13" x14ac:dyDescent="0.15">
      <c r="H476" s="70"/>
      <c r="I476" s="70"/>
    </row>
    <row r="477" spans="8:9" ht="13" x14ac:dyDescent="0.15">
      <c r="H477" s="70"/>
      <c r="I477" s="70"/>
    </row>
    <row r="478" spans="8:9" ht="13" x14ac:dyDescent="0.15">
      <c r="H478" s="70"/>
      <c r="I478" s="70"/>
    </row>
    <row r="479" spans="8:9" ht="13" x14ac:dyDescent="0.15">
      <c r="H479" s="70"/>
      <c r="I479" s="70"/>
    </row>
    <row r="480" spans="8:9" ht="13" x14ac:dyDescent="0.15">
      <c r="H480" s="70"/>
      <c r="I480" s="70"/>
    </row>
    <row r="481" spans="8:9" ht="13" x14ac:dyDescent="0.15">
      <c r="H481" s="70"/>
      <c r="I481" s="70"/>
    </row>
    <row r="482" spans="8:9" ht="13" x14ac:dyDescent="0.15">
      <c r="H482" s="70"/>
      <c r="I482" s="70"/>
    </row>
    <row r="483" spans="8:9" ht="13" x14ac:dyDescent="0.15">
      <c r="H483" s="70"/>
      <c r="I483" s="70"/>
    </row>
    <row r="484" spans="8:9" ht="13" x14ac:dyDescent="0.15">
      <c r="H484" s="70"/>
      <c r="I484" s="70"/>
    </row>
    <row r="485" spans="8:9" ht="13" x14ac:dyDescent="0.15">
      <c r="H485" s="70"/>
      <c r="I485" s="70"/>
    </row>
    <row r="486" spans="8:9" ht="13" x14ac:dyDescent="0.15">
      <c r="H486" s="70"/>
      <c r="I486" s="70"/>
    </row>
    <row r="487" spans="8:9" ht="13" x14ac:dyDescent="0.15">
      <c r="H487" s="70"/>
      <c r="I487" s="70"/>
    </row>
    <row r="488" spans="8:9" ht="13" x14ac:dyDescent="0.15">
      <c r="H488" s="70"/>
      <c r="I488" s="70"/>
    </row>
    <row r="489" spans="8:9" ht="13" x14ac:dyDescent="0.15">
      <c r="H489" s="70"/>
      <c r="I489" s="70"/>
    </row>
    <row r="490" spans="8:9" ht="13" x14ac:dyDescent="0.15">
      <c r="H490" s="70"/>
      <c r="I490" s="70"/>
    </row>
    <row r="491" spans="8:9" ht="13" x14ac:dyDescent="0.15">
      <c r="H491" s="70"/>
      <c r="I491" s="70"/>
    </row>
    <row r="492" spans="8:9" ht="13" x14ac:dyDescent="0.15">
      <c r="H492" s="70"/>
      <c r="I492" s="70"/>
    </row>
    <row r="493" spans="8:9" ht="13" x14ac:dyDescent="0.15">
      <c r="H493" s="70"/>
      <c r="I493" s="70"/>
    </row>
    <row r="494" spans="8:9" ht="13" x14ac:dyDescent="0.15">
      <c r="H494" s="70"/>
      <c r="I494" s="70"/>
    </row>
    <row r="495" spans="8:9" ht="13" x14ac:dyDescent="0.15">
      <c r="H495" s="70"/>
      <c r="I495" s="70"/>
    </row>
    <row r="496" spans="8:9" ht="13" x14ac:dyDescent="0.15">
      <c r="H496" s="70"/>
      <c r="I496" s="70"/>
    </row>
    <row r="497" spans="8:9" ht="13" x14ac:dyDescent="0.15">
      <c r="H497" s="70"/>
      <c r="I497" s="70"/>
    </row>
    <row r="498" spans="8:9" ht="13" x14ac:dyDescent="0.15">
      <c r="H498" s="70"/>
      <c r="I498" s="70"/>
    </row>
    <row r="499" spans="8:9" ht="13" x14ac:dyDescent="0.15">
      <c r="H499" s="70"/>
      <c r="I499" s="70"/>
    </row>
    <row r="500" spans="8:9" ht="13" x14ac:dyDescent="0.15">
      <c r="H500" s="70"/>
      <c r="I500" s="70"/>
    </row>
    <row r="501" spans="8:9" ht="13" x14ac:dyDescent="0.15">
      <c r="H501" s="70"/>
      <c r="I501" s="70"/>
    </row>
    <row r="502" spans="8:9" ht="13" x14ac:dyDescent="0.15">
      <c r="H502" s="70"/>
      <c r="I502" s="70"/>
    </row>
    <row r="503" spans="8:9" ht="13" x14ac:dyDescent="0.15">
      <c r="H503" s="70"/>
      <c r="I503" s="70"/>
    </row>
    <row r="504" spans="8:9" ht="13" x14ac:dyDescent="0.15">
      <c r="H504" s="70"/>
      <c r="I504" s="70"/>
    </row>
    <row r="505" spans="8:9" ht="13" x14ac:dyDescent="0.15">
      <c r="H505" s="70"/>
      <c r="I505" s="70"/>
    </row>
    <row r="506" spans="8:9" ht="13" x14ac:dyDescent="0.15">
      <c r="H506" s="70"/>
      <c r="I506" s="70"/>
    </row>
    <row r="507" spans="8:9" ht="13" x14ac:dyDescent="0.15">
      <c r="H507" s="70"/>
      <c r="I507" s="70"/>
    </row>
    <row r="508" spans="8:9" ht="13" x14ac:dyDescent="0.15">
      <c r="H508" s="70"/>
      <c r="I508" s="70"/>
    </row>
    <row r="509" spans="8:9" ht="13" x14ac:dyDescent="0.15">
      <c r="H509" s="70"/>
      <c r="I509" s="70"/>
    </row>
    <row r="510" spans="8:9" ht="13" x14ac:dyDescent="0.15">
      <c r="H510" s="70"/>
      <c r="I510" s="70"/>
    </row>
    <row r="511" spans="8:9" ht="13" x14ac:dyDescent="0.15">
      <c r="H511" s="70"/>
      <c r="I511" s="70"/>
    </row>
    <row r="512" spans="8:9" ht="13" x14ac:dyDescent="0.15">
      <c r="H512" s="70"/>
      <c r="I512" s="70"/>
    </row>
    <row r="513" spans="8:9" ht="13" x14ac:dyDescent="0.15">
      <c r="H513" s="70"/>
      <c r="I513" s="70"/>
    </row>
    <row r="514" spans="8:9" ht="13" x14ac:dyDescent="0.15">
      <c r="H514" s="70"/>
      <c r="I514" s="70"/>
    </row>
    <row r="515" spans="8:9" ht="13" x14ac:dyDescent="0.15">
      <c r="H515" s="70"/>
      <c r="I515" s="70"/>
    </row>
    <row r="516" spans="8:9" ht="13" x14ac:dyDescent="0.15">
      <c r="H516" s="70"/>
      <c r="I516" s="70"/>
    </row>
    <row r="517" spans="8:9" ht="13" x14ac:dyDescent="0.15">
      <c r="H517" s="70"/>
      <c r="I517" s="70"/>
    </row>
    <row r="518" spans="8:9" ht="13" x14ac:dyDescent="0.15">
      <c r="H518" s="70"/>
      <c r="I518" s="70"/>
    </row>
    <row r="519" spans="8:9" ht="13" x14ac:dyDescent="0.15">
      <c r="H519" s="70"/>
      <c r="I519" s="70"/>
    </row>
    <row r="520" spans="8:9" ht="13" x14ac:dyDescent="0.15">
      <c r="H520" s="70"/>
      <c r="I520" s="70"/>
    </row>
    <row r="521" spans="8:9" ht="13" x14ac:dyDescent="0.15">
      <c r="H521" s="70"/>
      <c r="I521" s="70"/>
    </row>
    <row r="522" spans="8:9" ht="13" x14ac:dyDescent="0.15">
      <c r="H522" s="70"/>
      <c r="I522" s="70"/>
    </row>
    <row r="523" spans="8:9" ht="13" x14ac:dyDescent="0.15">
      <c r="H523" s="70"/>
      <c r="I523" s="70"/>
    </row>
    <row r="524" spans="8:9" ht="13" x14ac:dyDescent="0.15">
      <c r="H524" s="70"/>
      <c r="I524" s="70"/>
    </row>
    <row r="525" spans="8:9" ht="13" x14ac:dyDescent="0.15">
      <c r="H525" s="70"/>
      <c r="I525" s="70"/>
    </row>
    <row r="526" spans="8:9" ht="13" x14ac:dyDescent="0.15">
      <c r="H526" s="70"/>
      <c r="I526" s="70"/>
    </row>
    <row r="527" spans="8:9" ht="13" x14ac:dyDescent="0.15">
      <c r="H527" s="70"/>
      <c r="I527" s="70"/>
    </row>
    <row r="528" spans="8:9" ht="13" x14ac:dyDescent="0.15">
      <c r="H528" s="70"/>
      <c r="I528" s="70"/>
    </row>
    <row r="529" spans="8:9" ht="13" x14ac:dyDescent="0.15">
      <c r="H529" s="70"/>
      <c r="I529" s="70"/>
    </row>
    <row r="530" spans="8:9" ht="13" x14ac:dyDescent="0.15">
      <c r="H530" s="70"/>
      <c r="I530" s="70"/>
    </row>
    <row r="531" spans="8:9" ht="13" x14ac:dyDescent="0.15">
      <c r="H531" s="70"/>
      <c r="I531" s="70"/>
    </row>
    <row r="532" spans="8:9" ht="13" x14ac:dyDescent="0.15">
      <c r="H532" s="70"/>
      <c r="I532" s="70"/>
    </row>
    <row r="533" spans="8:9" ht="13" x14ac:dyDescent="0.15">
      <c r="H533" s="70"/>
      <c r="I533" s="70"/>
    </row>
    <row r="534" spans="8:9" ht="13" x14ac:dyDescent="0.15">
      <c r="H534" s="70"/>
      <c r="I534" s="70"/>
    </row>
    <row r="535" spans="8:9" ht="13" x14ac:dyDescent="0.15">
      <c r="H535" s="70"/>
      <c r="I535" s="70"/>
    </row>
    <row r="536" spans="8:9" ht="13" x14ac:dyDescent="0.15">
      <c r="H536" s="70"/>
      <c r="I536" s="70"/>
    </row>
    <row r="537" spans="8:9" ht="13" x14ac:dyDescent="0.15">
      <c r="H537" s="70"/>
      <c r="I537" s="70"/>
    </row>
    <row r="538" spans="8:9" ht="13" x14ac:dyDescent="0.15">
      <c r="H538" s="70"/>
      <c r="I538" s="70"/>
    </row>
    <row r="539" spans="8:9" ht="13" x14ac:dyDescent="0.15">
      <c r="H539" s="70"/>
      <c r="I539" s="70"/>
    </row>
    <row r="540" spans="8:9" ht="13" x14ac:dyDescent="0.15">
      <c r="H540" s="70"/>
      <c r="I540" s="70"/>
    </row>
    <row r="541" spans="8:9" ht="13" x14ac:dyDescent="0.15">
      <c r="H541" s="70"/>
      <c r="I541" s="70"/>
    </row>
    <row r="542" spans="8:9" ht="13" x14ac:dyDescent="0.15">
      <c r="H542" s="70"/>
      <c r="I542" s="70"/>
    </row>
    <row r="543" spans="8:9" ht="13" x14ac:dyDescent="0.15">
      <c r="H543" s="70"/>
      <c r="I543" s="70"/>
    </row>
    <row r="544" spans="8:9" ht="13" x14ac:dyDescent="0.15">
      <c r="H544" s="70"/>
      <c r="I544" s="70"/>
    </row>
    <row r="545" spans="8:9" ht="13" x14ac:dyDescent="0.15">
      <c r="H545" s="70"/>
      <c r="I545" s="70"/>
    </row>
    <row r="546" spans="8:9" ht="13" x14ac:dyDescent="0.15">
      <c r="H546" s="70"/>
      <c r="I546" s="70"/>
    </row>
    <row r="547" spans="8:9" ht="13" x14ac:dyDescent="0.15">
      <c r="H547" s="70"/>
      <c r="I547" s="70"/>
    </row>
    <row r="548" spans="8:9" ht="13" x14ac:dyDescent="0.15">
      <c r="H548" s="70"/>
      <c r="I548" s="70"/>
    </row>
    <row r="549" spans="8:9" ht="13" x14ac:dyDescent="0.15">
      <c r="H549" s="70"/>
      <c r="I549" s="70"/>
    </row>
    <row r="550" spans="8:9" ht="13" x14ac:dyDescent="0.15">
      <c r="H550" s="70"/>
      <c r="I550" s="70"/>
    </row>
    <row r="551" spans="8:9" ht="13" x14ac:dyDescent="0.15">
      <c r="H551" s="70"/>
      <c r="I551" s="70"/>
    </row>
    <row r="552" spans="8:9" ht="13" x14ac:dyDescent="0.15">
      <c r="H552" s="70"/>
      <c r="I552" s="70"/>
    </row>
    <row r="553" spans="8:9" ht="13" x14ac:dyDescent="0.15">
      <c r="H553" s="70"/>
      <c r="I553" s="70"/>
    </row>
    <row r="554" spans="8:9" ht="13" x14ac:dyDescent="0.15">
      <c r="H554" s="70"/>
      <c r="I554" s="70"/>
    </row>
    <row r="555" spans="8:9" ht="13" x14ac:dyDescent="0.15">
      <c r="H555" s="70"/>
      <c r="I555" s="70"/>
    </row>
    <row r="556" spans="8:9" ht="13" x14ac:dyDescent="0.15">
      <c r="H556" s="70"/>
      <c r="I556" s="70"/>
    </row>
    <row r="557" spans="8:9" ht="13" x14ac:dyDescent="0.15">
      <c r="H557" s="70"/>
      <c r="I557" s="70"/>
    </row>
    <row r="558" spans="8:9" ht="13" x14ac:dyDescent="0.15">
      <c r="H558" s="70"/>
      <c r="I558" s="70"/>
    </row>
    <row r="559" spans="8:9" ht="13" x14ac:dyDescent="0.15">
      <c r="H559" s="70"/>
      <c r="I559" s="70"/>
    </row>
    <row r="560" spans="8:9" ht="13" x14ac:dyDescent="0.15">
      <c r="H560" s="70"/>
      <c r="I560" s="70"/>
    </row>
    <row r="561" spans="8:9" ht="13" x14ac:dyDescent="0.15">
      <c r="H561" s="70"/>
      <c r="I561" s="70"/>
    </row>
    <row r="562" spans="8:9" ht="13" x14ac:dyDescent="0.15">
      <c r="H562" s="70"/>
      <c r="I562" s="70"/>
    </row>
    <row r="563" spans="8:9" ht="13" x14ac:dyDescent="0.15">
      <c r="H563" s="70"/>
      <c r="I563" s="70"/>
    </row>
    <row r="564" spans="8:9" ht="13" x14ac:dyDescent="0.15">
      <c r="H564" s="70"/>
      <c r="I564" s="70"/>
    </row>
    <row r="565" spans="8:9" ht="13" x14ac:dyDescent="0.15">
      <c r="H565" s="70"/>
      <c r="I565" s="70"/>
    </row>
    <row r="566" spans="8:9" ht="13" x14ac:dyDescent="0.15">
      <c r="H566" s="70"/>
      <c r="I566" s="70"/>
    </row>
    <row r="567" spans="8:9" ht="13" x14ac:dyDescent="0.15">
      <c r="H567" s="70"/>
      <c r="I567" s="70"/>
    </row>
    <row r="568" spans="8:9" ht="13" x14ac:dyDescent="0.15">
      <c r="H568" s="70"/>
      <c r="I568" s="70"/>
    </row>
    <row r="569" spans="8:9" ht="13" x14ac:dyDescent="0.15">
      <c r="H569" s="70"/>
      <c r="I569" s="70"/>
    </row>
    <row r="570" spans="8:9" ht="13" x14ac:dyDescent="0.15">
      <c r="H570" s="70"/>
      <c r="I570" s="70"/>
    </row>
    <row r="571" spans="8:9" ht="13" x14ac:dyDescent="0.15">
      <c r="H571" s="70"/>
      <c r="I571" s="70"/>
    </row>
    <row r="572" spans="8:9" ht="13" x14ac:dyDescent="0.15">
      <c r="H572" s="70"/>
      <c r="I572" s="70"/>
    </row>
    <row r="573" spans="8:9" ht="13" x14ac:dyDescent="0.15">
      <c r="H573" s="70"/>
      <c r="I573" s="70"/>
    </row>
    <row r="574" spans="8:9" ht="13" x14ac:dyDescent="0.15">
      <c r="H574" s="70"/>
      <c r="I574" s="70"/>
    </row>
    <row r="575" spans="8:9" ht="13" x14ac:dyDescent="0.15">
      <c r="H575" s="70"/>
      <c r="I575" s="70"/>
    </row>
    <row r="576" spans="8:9" ht="13" x14ac:dyDescent="0.15">
      <c r="H576" s="70"/>
      <c r="I576" s="70"/>
    </row>
    <row r="577" spans="8:9" ht="13" x14ac:dyDescent="0.15">
      <c r="H577" s="70"/>
      <c r="I577" s="70"/>
    </row>
    <row r="578" spans="8:9" ht="13" x14ac:dyDescent="0.15">
      <c r="H578" s="70"/>
      <c r="I578" s="70"/>
    </row>
    <row r="579" spans="8:9" ht="13" x14ac:dyDescent="0.15">
      <c r="H579" s="70"/>
      <c r="I579" s="70"/>
    </row>
    <row r="580" spans="8:9" ht="13" x14ac:dyDescent="0.15">
      <c r="H580" s="70"/>
      <c r="I580" s="70"/>
    </row>
    <row r="581" spans="8:9" ht="13" x14ac:dyDescent="0.15">
      <c r="H581" s="70"/>
      <c r="I581" s="70"/>
    </row>
    <row r="582" spans="8:9" ht="13" x14ac:dyDescent="0.15">
      <c r="H582" s="70"/>
      <c r="I582" s="70"/>
    </row>
    <row r="583" spans="8:9" ht="13" x14ac:dyDescent="0.15">
      <c r="H583" s="70"/>
      <c r="I583" s="70"/>
    </row>
    <row r="584" spans="8:9" ht="13" x14ac:dyDescent="0.15">
      <c r="H584" s="70"/>
      <c r="I584" s="70"/>
    </row>
    <row r="585" spans="8:9" ht="13" x14ac:dyDescent="0.15">
      <c r="H585" s="70"/>
      <c r="I585" s="70"/>
    </row>
    <row r="586" spans="8:9" ht="13" x14ac:dyDescent="0.15">
      <c r="H586" s="70"/>
      <c r="I586" s="70"/>
    </row>
    <row r="587" spans="8:9" ht="13" x14ac:dyDescent="0.15">
      <c r="H587" s="70"/>
      <c r="I587" s="70"/>
    </row>
    <row r="588" spans="8:9" ht="13" x14ac:dyDescent="0.15">
      <c r="H588" s="70"/>
      <c r="I588" s="70"/>
    </row>
    <row r="589" spans="8:9" ht="13" x14ac:dyDescent="0.15">
      <c r="H589" s="70"/>
      <c r="I589" s="70"/>
    </row>
    <row r="590" spans="8:9" ht="13" x14ac:dyDescent="0.15">
      <c r="H590" s="70"/>
      <c r="I590" s="70"/>
    </row>
    <row r="591" spans="8:9" ht="13" x14ac:dyDescent="0.15">
      <c r="H591" s="70"/>
      <c r="I591" s="70"/>
    </row>
    <row r="592" spans="8:9" ht="13" x14ac:dyDescent="0.15">
      <c r="H592" s="70"/>
      <c r="I592" s="70"/>
    </row>
    <row r="593" spans="8:9" ht="13" x14ac:dyDescent="0.15">
      <c r="H593" s="70"/>
      <c r="I593" s="70"/>
    </row>
    <row r="594" spans="8:9" ht="13" x14ac:dyDescent="0.15">
      <c r="H594" s="70"/>
      <c r="I594" s="70"/>
    </row>
    <row r="595" spans="8:9" ht="13" x14ac:dyDescent="0.15">
      <c r="H595" s="70"/>
      <c r="I595" s="70"/>
    </row>
    <row r="596" spans="8:9" ht="13" x14ac:dyDescent="0.15">
      <c r="H596" s="70"/>
      <c r="I596" s="70"/>
    </row>
    <row r="597" spans="8:9" ht="13" x14ac:dyDescent="0.15">
      <c r="H597" s="70"/>
      <c r="I597" s="70"/>
    </row>
    <row r="598" spans="8:9" ht="13" x14ac:dyDescent="0.15">
      <c r="H598" s="70"/>
      <c r="I598" s="70"/>
    </row>
    <row r="599" spans="8:9" ht="13" x14ac:dyDescent="0.15">
      <c r="H599" s="70"/>
      <c r="I599" s="70"/>
    </row>
    <row r="600" spans="8:9" ht="13" x14ac:dyDescent="0.15">
      <c r="H600" s="70"/>
      <c r="I600" s="70"/>
    </row>
    <row r="601" spans="8:9" ht="13" x14ac:dyDescent="0.15">
      <c r="H601" s="70"/>
      <c r="I601" s="70"/>
    </row>
    <row r="602" spans="8:9" ht="13" x14ac:dyDescent="0.15">
      <c r="H602" s="70"/>
      <c r="I602" s="70"/>
    </row>
    <row r="603" spans="8:9" ht="13" x14ac:dyDescent="0.15">
      <c r="H603" s="70"/>
      <c r="I603" s="70"/>
    </row>
    <row r="604" spans="8:9" ht="13" x14ac:dyDescent="0.15">
      <c r="H604" s="70"/>
      <c r="I604" s="70"/>
    </row>
    <row r="605" spans="8:9" ht="13" x14ac:dyDescent="0.15">
      <c r="H605" s="70"/>
      <c r="I605" s="70"/>
    </row>
    <row r="606" spans="8:9" ht="13" x14ac:dyDescent="0.15">
      <c r="H606" s="70"/>
      <c r="I606" s="70"/>
    </row>
    <row r="607" spans="8:9" ht="13" x14ac:dyDescent="0.15">
      <c r="H607" s="70"/>
      <c r="I607" s="70"/>
    </row>
    <row r="608" spans="8:9" ht="13" x14ac:dyDescent="0.15">
      <c r="H608" s="70"/>
      <c r="I608" s="70"/>
    </row>
    <row r="609" spans="8:9" ht="13" x14ac:dyDescent="0.15">
      <c r="H609" s="70"/>
      <c r="I609" s="70"/>
    </row>
    <row r="610" spans="8:9" ht="13" x14ac:dyDescent="0.15">
      <c r="H610" s="70"/>
      <c r="I610" s="70"/>
    </row>
    <row r="611" spans="8:9" ht="13" x14ac:dyDescent="0.15">
      <c r="H611" s="70"/>
      <c r="I611" s="70"/>
    </row>
    <row r="612" spans="8:9" ht="13" x14ac:dyDescent="0.15">
      <c r="H612" s="70"/>
      <c r="I612" s="70"/>
    </row>
    <row r="613" spans="8:9" ht="13" x14ac:dyDescent="0.15">
      <c r="H613" s="70"/>
      <c r="I613" s="70"/>
    </row>
    <row r="614" spans="8:9" ht="13" x14ac:dyDescent="0.15">
      <c r="H614" s="70"/>
      <c r="I614" s="70"/>
    </row>
    <row r="615" spans="8:9" ht="13" x14ac:dyDescent="0.15">
      <c r="H615" s="70"/>
      <c r="I615" s="70"/>
    </row>
    <row r="616" spans="8:9" ht="13" x14ac:dyDescent="0.15">
      <c r="H616" s="70"/>
      <c r="I616" s="70"/>
    </row>
    <row r="617" spans="8:9" ht="13" x14ac:dyDescent="0.15">
      <c r="H617" s="70"/>
      <c r="I617" s="70"/>
    </row>
    <row r="618" spans="8:9" ht="13" x14ac:dyDescent="0.15">
      <c r="H618" s="70"/>
      <c r="I618" s="70"/>
    </row>
    <row r="619" spans="8:9" ht="13" x14ac:dyDescent="0.15">
      <c r="H619" s="70"/>
      <c r="I619" s="70"/>
    </row>
    <row r="620" spans="8:9" ht="13" x14ac:dyDescent="0.15">
      <c r="H620" s="70"/>
      <c r="I620" s="70"/>
    </row>
    <row r="621" spans="8:9" ht="13" x14ac:dyDescent="0.15">
      <c r="H621" s="70"/>
      <c r="I621" s="70"/>
    </row>
    <row r="622" spans="8:9" ht="13" x14ac:dyDescent="0.15">
      <c r="H622" s="70"/>
      <c r="I622" s="70"/>
    </row>
    <row r="623" spans="8:9" ht="13" x14ac:dyDescent="0.15">
      <c r="H623" s="70"/>
      <c r="I623" s="70"/>
    </row>
    <row r="624" spans="8:9" ht="13" x14ac:dyDescent="0.15">
      <c r="H624" s="70"/>
      <c r="I624" s="70"/>
    </row>
    <row r="625" spans="8:9" ht="13" x14ac:dyDescent="0.15">
      <c r="H625" s="70"/>
      <c r="I625" s="70"/>
    </row>
    <row r="626" spans="8:9" ht="13" x14ac:dyDescent="0.15">
      <c r="H626" s="70"/>
      <c r="I626" s="70"/>
    </row>
    <row r="627" spans="8:9" ht="13" x14ac:dyDescent="0.15">
      <c r="H627" s="70"/>
      <c r="I627" s="70"/>
    </row>
    <row r="628" spans="8:9" ht="13" x14ac:dyDescent="0.15">
      <c r="H628" s="70"/>
      <c r="I628" s="70"/>
    </row>
    <row r="629" spans="8:9" ht="13" x14ac:dyDescent="0.15">
      <c r="H629" s="70"/>
      <c r="I629" s="70"/>
    </row>
    <row r="630" spans="8:9" ht="13" x14ac:dyDescent="0.15">
      <c r="H630" s="70"/>
      <c r="I630" s="70"/>
    </row>
    <row r="631" spans="8:9" ht="13" x14ac:dyDescent="0.15">
      <c r="H631" s="70"/>
      <c r="I631" s="70"/>
    </row>
    <row r="632" spans="8:9" ht="13" x14ac:dyDescent="0.15">
      <c r="H632" s="70"/>
      <c r="I632" s="70"/>
    </row>
    <row r="633" spans="8:9" ht="13" x14ac:dyDescent="0.15">
      <c r="H633" s="70"/>
      <c r="I633" s="70"/>
    </row>
    <row r="634" spans="8:9" ht="13" x14ac:dyDescent="0.15">
      <c r="H634" s="70"/>
      <c r="I634" s="70"/>
    </row>
    <row r="635" spans="8:9" ht="13" x14ac:dyDescent="0.15">
      <c r="H635" s="70"/>
      <c r="I635" s="70"/>
    </row>
    <row r="636" spans="8:9" ht="13" x14ac:dyDescent="0.15">
      <c r="H636" s="70"/>
      <c r="I636" s="70"/>
    </row>
    <row r="637" spans="8:9" ht="13" x14ac:dyDescent="0.15">
      <c r="H637" s="70"/>
      <c r="I637" s="70"/>
    </row>
    <row r="638" spans="8:9" ht="13" x14ac:dyDescent="0.15">
      <c r="H638" s="70"/>
      <c r="I638" s="70"/>
    </row>
    <row r="639" spans="8:9" ht="13" x14ac:dyDescent="0.15">
      <c r="H639" s="70"/>
      <c r="I639" s="70"/>
    </row>
    <row r="640" spans="8:9" ht="13" x14ac:dyDescent="0.15">
      <c r="H640" s="70"/>
      <c r="I640" s="70"/>
    </row>
    <row r="641" spans="8:9" ht="13" x14ac:dyDescent="0.15">
      <c r="H641" s="70"/>
      <c r="I641" s="70"/>
    </row>
    <row r="642" spans="8:9" ht="13" x14ac:dyDescent="0.15">
      <c r="H642" s="70"/>
      <c r="I642" s="70"/>
    </row>
    <row r="643" spans="8:9" ht="13" x14ac:dyDescent="0.15">
      <c r="H643" s="70"/>
      <c r="I643" s="70"/>
    </row>
    <row r="644" spans="8:9" ht="13" x14ac:dyDescent="0.15">
      <c r="H644" s="70"/>
      <c r="I644" s="70"/>
    </row>
    <row r="645" spans="8:9" ht="13" x14ac:dyDescent="0.15">
      <c r="H645" s="70"/>
      <c r="I645" s="70"/>
    </row>
    <row r="646" spans="8:9" ht="13" x14ac:dyDescent="0.15">
      <c r="H646" s="70"/>
      <c r="I646" s="70"/>
    </row>
    <row r="647" spans="8:9" ht="13" x14ac:dyDescent="0.15">
      <c r="H647" s="70"/>
      <c r="I647" s="70"/>
    </row>
    <row r="648" spans="8:9" ht="13" x14ac:dyDescent="0.15">
      <c r="H648" s="70"/>
      <c r="I648" s="70"/>
    </row>
    <row r="649" spans="8:9" ht="13" x14ac:dyDescent="0.15">
      <c r="H649" s="70"/>
      <c r="I649" s="70"/>
    </row>
    <row r="650" spans="8:9" ht="13" x14ac:dyDescent="0.15">
      <c r="H650" s="70"/>
      <c r="I650" s="70"/>
    </row>
    <row r="651" spans="8:9" ht="13" x14ac:dyDescent="0.15">
      <c r="H651" s="70"/>
      <c r="I651" s="70"/>
    </row>
    <row r="652" spans="8:9" ht="13" x14ac:dyDescent="0.15">
      <c r="H652" s="70"/>
      <c r="I652" s="70"/>
    </row>
    <row r="653" spans="8:9" ht="13" x14ac:dyDescent="0.15">
      <c r="H653" s="70"/>
      <c r="I653" s="70"/>
    </row>
    <row r="654" spans="8:9" ht="13" x14ac:dyDescent="0.15">
      <c r="H654" s="70"/>
      <c r="I654" s="70"/>
    </row>
    <row r="655" spans="8:9" ht="13" x14ac:dyDescent="0.15">
      <c r="H655" s="70"/>
      <c r="I655" s="70"/>
    </row>
    <row r="656" spans="8:9" ht="13" x14ac:dyDescent="0.15">
      <c r="H656" s="70"/>
      <c r="I656" s="70"/>
    </row>
    <row r="657" spans="8:9" ht="13" x14ac:dyDescent="0.15">
      <c r="H657" s="70"/>
      <c r="I657" s="70"/>
    </row>
    <row r="658" spans="8:9" ht="13" x14ac:dyDescent="0.15">
      <c r="H658" s="70"/>
      <c r="I658" s="70"/>
    </row>
    <row r="659" spans="8:9" ht="13" x14ac:dyDescent="0.15">
      <c r="H659" s="70"/>
      <c r="I659" s="70"/>
    </row>
    <row r="660" spans="8:9" ht="13" x14ac:dyDescent="0.15">
      <c r="H660" s="70"/>
      <c r="I660" s="70"/>
    </row>
    <row r="661" spans="8:9" ht="13" x14ac:dyDescent="0.15">
      <c r="H661" s="70"/>
      <c r="I661" s="70"/>
    </row>
    <row r="662" spans="8:9" ht="13" x14ac:dyDescent="0.15">
      <c r="H662" s="70"/>
      <c r="I662" s="70"/>
    </row>
    <row r="663" spans="8:9" ht="13" x14ac:dyDescent="0.15">
      <c r="H663" s="70"/>
      <c r="I663" s="70"/>
    </row>
    <row r="664" spans="8:9" ht="13" x14ac:dyDescent="0.15">
      <c r="H664" s="70"/>
      <c r="I664" s="70"/>
    </row>
    <row r="665" spans="8:9" ht="13" x14ac:dyDescent="0.15">
      <c r="H665" s="70"/>
      <c r="I665" s="70"/>
    </row>
    <row r="666" spans="8:9" ht="13" x14ac:dyDescent="0.15">
      <c r="H666" s="70"/>
      <c r="I666" s="70"/>
    </row>
    <row r="667" spans="8:9" ht="13" x14ac:dyDescent="0.15">
      <c r="H667" s="70"/>
      <c r="I667" s="70"/>
    </row>
    <row r="668" spans="8:9" ht="13" x14ac:dyDescent="0.15">
      <c r="H668" s="70"/>
      <c r="I668" s="70"/>
    </row>
    <row r="669" spans="8:9" ht="13" x14ac:dyDescent="0.15">
      <c r="H669" s="70"/>
      <c r="I669" s="70"/>
    </row>
    <row r="670" spans="8:9" ht="13" x14ac:dyDescent="0.15">
      <c r="H670" s="70"/>
      <c r="I670" s="70"/>
    </row>
    <row r="671" spans="8:9" ht="13" x14ac:dyDescent="0.15">
      <c r="H671" s="70"/>
      <c r="I671" s="70"/>
    </row>
    <row r="672" spans="8:9" ht="13" x14ac:dyDescent="0.15">
      <c r="H672" s="70"/>
      <c r="I672" s="70"/>
    </row>
    <row r="673" spans="8:9" ht="13" x14ac:dyDescent="0.15">
      <c r="H673" s="70"/>
      <c r="I673" s="70"/>
    </row>
    <row r="674" spans="8:9" ht="13" x14ac:dyDescent="0.15">
      <c r="H674" s="70"/>
      <c r="I674" s="70"/>
    </row>
    <row r="675" spans="8:9" ht="13" x14ac:dyDescent="0.15">
      <c r="H675" s="70"/>
      <c r="I675" s="70"/>
    </row>
    <row r="676" spans="8:9" ht="13" x14ac:dyDescent="0.15">
      <c r="H676" s="70"/>
      <c r="I676" s="70"/>
    </row>
    <row r="677" spans="8:9" ht="13" x14ac:dyDescent="0.15">
      <c r="H677" s="70"/>
      <c r="I677" s="70"/>
    </row>
    <row r="678" spans="8:9" ht="13" x14ac:dyDescent="0.15">
      <c r="H678" s="70"/>
      <c r="I678" s="70"/>
    </row>
    <row r="679" spans="8:9" ht="13" x14ac:dyDescent="0.15">
      <c r="H679" s="70"/>
      <c r="I679" s="70"/>
    </row>
    <row r="680" spans="8:9" ht="13" x14ac:dyDescent="0.15">
      <c r="H680" s="70"/>
      <c r="I680" s="70"/>
    </row>
    <row r="681" spans="8:9" ht="13" x14ac:dyDescent="0.15">
      <c r="H681" s="70"/>
      <c r="I681" s="70"/>
    </row>
    <row r="682" spans="8:9" ht="13" x14ac:dyDescent="0.15">
      <c r="H682" s="70"/>
      <c r="I682" s="70"/>
    </row>
    <row r="683" spans="8:9" ht="13" x14ac:dyDescent="0.15">
      <c r="H683" s="70"/>
      <c r="I683" s="70"/>
    </row>
    <row r="684" spans="8:9" ht="13" x14ac:dyDescent="0.15">
      <c r="H684" s="70"/>
      <c r="I684" s="70"/>
    </row>
    <row r="685" spans="8:9" ht="13" x14ac:dyDescent="0.15">
      <c r="H685" s="70"/>
      <c r="I685" s="70"/>
    </row>
    <row r="686" spans="8:9" ht="13" x14ac:dyDescent="0.15">
      <c r="H686" s="70"/>
      <c r="I686" s="70"/>
    </row>
    <row r="687" spans="8:9" ht="13" x14ac:dyDescent="0.15">
      <c r="H687" s="70"/>
      <c r="I687" s="70"/>
    </row>
    <row r="688" spans="8:9" ht="13" x14ac:dyDescent="0.15">
      <c r="H688" s="70"/>
      <c r="I688" s="70"/>
    </row>
    <row r="689" spans="8:9" ht="13" x14ac:dyDescent="0.15">
      <c r="H689" s="70"/>
      <c r="I689" s="70"/>
    </row>
    <row r="690" spans="8:9" ht="13" x14ac:dyDescent="0.15">
      <c r="H690" s="70"/>
      <c r="I690" s="70"/>
    </row>
    <row r="691" spans="8:9" ht="13" x14ac:dyDescent="0.15">
      <c r="H691" s="70"/>
      <c r="I691" s="70"/>
    </row>
    <row r="692" spans="8:9" ht="13" x14ac:dyDescent="0.15">
      <c r="H692" s="70"/>
      <c r="I692" s="70"/>
    </row>
    <row r="693" spans="8:9" ht="13" x14ac:dyDescent="0.15">
      <c r="H693" s="70"/>
      <c r="I693" s="70"/>
    </row>
    <row r="694" spans="8:9" ht="13" x14ac:dyDescent="0.15">
      <c r="H694" s="70"/>
      <c r="I694" s="70"/>
    </row>
    <row r="695" spans="8:9" ht="13" x14ac:dyDescent="0.15">
      <c r="H695" s="70"/>
      <c r="I695" s="70"/>
    </row>
    <row r="696" spans="8:9" ht="13" x14ac:dyDescent="0.15">
      <c r="H696" s="70"/>
      <c r="I696" s="70"/>
    </row>
    <row r="697" spans="8:9" ht="13" x14ac:dyDescent="0.15">
      <c r="H697" s="70"/>
      <c r="I697" s="70"/>
    </row>
    <row r="698" spans="8:9" ht="13" x14ac:dyDescent="0.15">
      <c r="H698" s="70"/>
      <c r="I698" s="70"/>
    </row>
    <row r="699" spans="8:9" ht="13" x14ac:dyDescent="0.15">
      <c r="H699" s="70"/>
      <c r="I699" s="70"/>
    </row>
    <row r="700" spans="8:9" ht="13" x14ac:dyDescent="0.15">
      <c r="H700" s="70"/>
      <c r="I700" s="70"/>
    </row>
    <row r="701" spans="8:9" ht="13" x14ac:dyDescent="0.15">
      <c r="H701" s="70"/>
      <c r="I701" s="70"/>
    </row>
    <row r="702" spans="8:9" ht="13" x14ac:dyDescent="0.15">
      <c r="H702" s="70"/>
      <c r="I702" s="70"/>
    </row>
    <row r="703" spans="8:9" ht="13" x14ac:dyDescent="0.15">
      <c r="H703" s="70"/>
      <c r="I703" s="70"/>
    </row>
    <row r="704" spans="8:9" ht="13" x14ac:dyDescent="0.15">
      <c r="H704" s="70"/>
      <c r="I704" s="70"/>
    </row>
    <row r="705" spans="8:9" ht="13" x14ac:dyDescent="0.15">
      <c r="H705" s="70"/>
      <c r="I705" s="70"/>
    </row>
    <row r="706" spans="8:9" ht="13" x14ac:dyDescent="0.15">
      <c r="H706" s="70"/>
      <c r="I706" s="70"/>
    </row>
    <row r="707" spans="8:9" ht="13" x14ac:dyDescent="0.15">
      <c r="H707" s="70"/>
      <c r="I707" s="70"/>
    </row>
    <row r="708" spans="8:9" ht="13" x14ac:dyDescent="0.15">
      <c r="H708" s="70"/>
      <c r="I708" s="70"/>
    </row>
    <row r="709" spans="8:9" ht="13" x14ac:dyDescent="0.15">
      <c r="H709" s="70"/>
      <c r="I709" s="70"/>
    </row>
    <row r="710" spans="8:9" ht="13" x14ac:dyDescent="0.15">
      <c r="H710" s="70"/>
      <c r="I710" s="70"/>
    </row>
    <row r="711" spans="8:9" ht="13" x14ac:dyDescent="0.15">
      <c r="H711" s="70"/>
      <c r="I711" s="70"/>
    </row>
    <row r="712" spans="8:9" ht="13" x14ac:dyDescent="0.15">
      <c r="H712" s="70"/>
      <c r="I712" s="70"/>
    </row>
    <row r="713" spans="8:9" ht="13" x14ac:dyDescent="0.15">
      <c r="H713" s="70"/>
      <c r="I713" s="70"/>
    </row>
    <row r="714" spans="8:9" ht="13" x14ac:dyDescent="0.15">
      <c r="H714" s="70"/>
      <c r="I714" s="70"/>
    </row>
    <row r="715" spans="8:9" ht="13" x14ac:dyDescent="0.15">
      <c r="H715" s="70"/>
      <c r="I715" s="70"/>
    </row>
    <row r="716" spans="8:9" ht="13" x14ac:dyDescent="0.15">
      <c r="H716" s="70"/>
      <c r="I716" s="70"/>
    </row>
    <row r="717" spans="8:9" ht="13" x14ac:dyDescent="0.15">
      <c r="H717" s="70"/>
      <c r="I717" s="70"/>
    </row>
    <row r="718" spans="8:9" ht="13" x14ac:dyDescent="0.15">
      <c r="H718" s="70"/>
      <c r="I718" s="70"/>
    </row>
    <row r="719" spans="8:9" ht="13" x14ac:dyDescent="0.15">
      <c r="H719" s="70"/>
      <c r="I719" s="70"/>
    </row>
    <row r="720" spans="8:9" ht="13" x14ac:dyDescent="0.15">
      <c r="H720" s="70"/>
      <c r="I720" s="70"/>
    </row>
    <row r="721" spans="8:9" ht="13" x14ac:dyDescent="0.15">
      <c r="H721" s="70"/>
      <c r="I721" s="70"/>
    </row>
    <row r="722" spans="8:9" ht="13" x14ac:dyDescent="0.15">
      <c r="H722" s="70"/>
      <c r="I722" s="70"/>
    </row>
    <row r="723" spans="8:9" ht="13" x14ac:dyDescent="0.15">
      <c r="H723" s="70"/>
      <c r="I723" s="70"/>
    </row>
    <row r="724" spans="8:9" ht="13" x14ac:dyDescent="0.15">
      <c r="H724" s="70"/>
      <c r="I724" s="70"/>
    </row>
    <row r="725" spans="8:9" ht="13" x14ac:dyDescent="0.15">
      <c r="H725" s="70"/>
      <c r="I725" s="70"/>
    </row>
    <row r="726" spans="8:9" ht="13" x14ac:dyDescent="0.15">
      <c r="H726" s="70"/>
      <c r="I726" s="70"/>
    </row>
    <row r="727" spans="8:9" ht="13" x14ac:dyDescent="0.15">
      <c r="H727" s="70"/>
      <c r="I727" s="70"/>
    </row>
    <row r="728" spans="8:9" ht="13" x14ac:dyDescent="0.15">
      <c r="H728" s="70"/>
      <c r="I728" s="70"/>
    </row>
    <row r="729" spans="8:9" ht="13" x14ac:dyDescent="0.15">
      <c r="H729" s="70"/>
      <c r="I729" s="70"/>
    </row>
    <row r="730" spans="8:9" ht="13" x14ac:dyDescent="0.15">
      <c r="H730" s="70"/>
      <c r="I730" s="70"/>
    </row>
    <row r="731" spans="8:9" ht="13" x14ac:dyDescent="0.15">
      <c r="H731" s="70"/>
      <c r="I731" s="70"/>
    </row>
    <row r="732" spans="8:9" ht="13" x14ac:dyDescent="0.15">
      <c r="H732" s="70"/>
      <c r="I732" s="70"/>
    </row>
    <row r="733" spans="8:9" ht="13" x14ac:dyDescent="0.15">
      <c r="H733" s="70"/>
      <c r="I733" s="70"/>
    </row>
    <row r="734" spans="8:9" ht="13" x14ac:dyDescent="0.15">
      <c r="H734" s="70"/>
      <c r="I734" s="70"/>
    </row>
    <row r="735" spans="8:9" ht="13" x14ac:dyDescent="0.15">
      <c r="H735" s="70"/>
      <c r="I735" s="70"/>
    </row>
    <row r="736" spans="8:9" ht="13" x14ac:dyDescent="0.15">
      <c r="H736" s="70"/>
      <c r="I736" s="70"/>
    </row>
    <row r="737" spans="8:9" ht="13" x14ac:dyDescent="0.15">
      <c r="H737" s="70"/>
      <c r="I737" s="70"/>
    </row>
    <row r="738" spans="8:9" ht="13" x14ac:dyDescent="0.15">
      <c r="H738" s="70"/>
      <c r="I738" s="70"/>
    </row>
    <row r="739" spans="8:9" ht="13" x14ac:dyDescent="0.15">
      <c r="H739" s="70"/>
      <c r="I739" s="70"/>
    </row>
    <row r="740" spans="8:9" ht="13" x14ac:dyDescent="0.15">
      <c r="H740" s="70"/>
      <c r="I740" s="70"/>
    </row>
    <row r="741" spans="8:9" ht="13" x14ac:dyDescent="0.15">
      <c r="H741" s="70"/>
      <c r="I741" s="70"/>
    </row>
    <row r="742" spans="8:9" ht="13" x14ac:dyDescent="0.15">
      <c r="H742" s="70"/>
      <c r="I742" s="70"/>
    </row>
    <row r="743" spans="8:9" ht="13" x14ac:dyDescent="0.15">
      <c r="H743" s="70"/>
      <c r="I743" s="70"/>
    </row>
    <row r="744" spans="8:9" ht="13" x14ac:dyDescent="0.15">
      <c r="H744" s="70"/>
      <c r="I744" s="70"/>
    </row>
    <row r="745" spans="8:9" ht="13" x14ac:dyDescent="0.15">
      <c r="H745" s="70"/>
      <c r="I745" s="70"/>
    </row>
    <row r="746" spans="8:9" ht="13" x14ac:dyDescent="0.15">
      <c r="H746" s="70"/>
      <c r="I746" s="70"/>
    </row>
    <row r="747" spans="8:9" ht="13" x14ac:dyDescent="0.15">
      <c r="H747" s="70"/>
      <c r="I747" s="70"/>
    </row>
    <row r="748" spans="8:9" ht="13" x14ac:dyDescent="0.15">
      <c r="H748" s="70"/>
      <c r="I748" s="70"/>
    </row>
    <row r="749" spans="8:9" ht="13" x14ac:dyDescent="0.15">
      <c r="H749" s="70"/>
      <c r="I749" s="70"/>
    </row>
    <row r="750" spans="8:9" ht="13" x14ac:dyDescent="0.15">
      <c r="H750" s="70"/>
      <c r="I750" s="70"/>
    </row>
    <row r="751" spans="8:9" ht="13" x14ac:dyDescent="0.15">
      <c r="H751" s="70"/>
      <c r="I751" s="70"/>
    </row>
    <row r="752" spans="8:9" ht="13" x14ac:dyDescent="0.15">
      <c r="H752" s="70"/>
      <c r="I752" s="70"/>
    </row>
    <row r="753" spans="8:9" ht="13" x14ac:dyDescent="0.15">
      <c r="H753" s="70"/>
      <c r="I753" s="70"/>
    </row>
    <row r="754" spans="8:9" ht="13" x14ac:dyDescent="0.15">
      <c r="H754" s="70"/>
      <c r="I754" s="70"/>
    </row>
    <row r="755" spans="8:9" ht="13" x14ac:dyDescent="0.15">
      <c r="H755" s="70"/>
      <c r="I755" s="70"/>
    </row>
    <row r="756" spans="8:9" ht="13" x14ac:dyDescent="0.15">
      <c r="H756" s="70"/>
      <c r="I756" s="70"/>
    </row>
    <row r="757" spans="8:9" ht="13" x14ac:dyDescent="0.15">
      <c r="H757" s="70"/>
      <c r="I757" s="70"/>
    </row>
    <row r="758" spans="8:9" ht="13" x14ac:dyDescent="0.15">
      <c r="H758" s="70"/>
      <c r="I758" s="70"/>
    </row>
    <row r="759" spans="8:9" ht="13" x14ac:dyDescent="0.15">
      <c r="H759" s="70"/>
      <c r="I759" s="70"/>
    </row>
    <row r="760" spans="8:9" ht="13" x14ac:dyDescent="0.15">
      <c r="H760" s="70"/>
      <c r="I760" s="70"/>
    </row>
    <row r="761" spans="8:9" ht="13" x14ac:dyDescent="0.15">
      <c r="H761" s="70"/>
      <c r="I761" s="70"/>
    </row>
    <row r="762" spans="8:9" ht="13" x14ac:dyDescent="0.15">
      <c r="H762" s="70"/>
      <c r="I762" s="70"/>
    </row>
    <row r="763" spans="8:9" ht="13" x14ac:dyDescent="0.15">
      <c r="H763" s="70"/>
      <c r="I763" s="70"/>
    </row>
    <row r="764" spans="8:9" ht="13" x14ac:dyDescent="0.15">
      <c r="H764" s="70"/>
      <c r="I764" s="70"/>
    </row>
    <row r="765" spans="8:9" ht="13" x14ac:dyDescent="0.15">
      <c r="H765" s="70"/>
      <c r="I765" s="70"/>
    </row>
    <row r="766" spans="8:9" ht="13" x14ac:dyDescent="0.15">
      <c r="H766" s="70"/>
      <c r="I766" s="70"/>
    </row>
    <row r="767" spans="8:9" ht="13" x14ac:dyDescent="0.15">
      <c r="H767" s="70"/>
      <c r="I767" s="70"/>
    </row>
    <row r="768" spans="8:9" ht="13" x14ac:dyDescent="0.15">
      <c r="H768" s="70"/>
      <c r="I768" s="70"/>
    </row>
    <row r="769" spans="8:9" ht="13" x14ac:dyDescent="0.15">
      <c r="H769" s="70"/>
      <c r="I769" s="70"/>
    </row>
    <row r="770" spans="8:9" ht="13" x14ac:dyDescent="0.15">
      <c r="H770" s="70"/>
      <c r="I770" s="70"/>
    </row>
    <row r="771" spans="8:9" ht="13" x14ac:dyDescent="0.15">
      <c r="H771" s="70"/>
      <c r="I771" s="70"/>
    </row>
    <row r="772" spans="8:9" ht="13" x14ac:dyDescent="0.15">
      <c r="H772" s="70"/>
      <c r="I772" s="70"/>
    </row>
    <row r="773" spans="8:9" ht="13" x14ac:dyDescent="0.15">
      <c r="H773" s="70"/>
      <c r="I773" s="70"/>
    </row>
    <row r="774" spans="8:9" ht="13" x14ac:dyDescent="0.15">
      <c r="H774" s="70"/>
      <c r="I774" s="70"/>
    </row>
    <row r="775" spans="8:9" ht="13" x14ac:dyDescent="0.15">
      <c r="H775" s="70"/>
      <c r="I775" s="70"/>
    </row>
    <row r="776" spans="8:9" ht="13" x14ac:dyDescent="0.15">
      <c r="H776" s="70"/>
      <c r="I776" s="70"/>
    </row>
    <row r="777" spans="8:9" ht="13" x14ac:dyDescent="0.15">
      <c r="H777" s="70"/>
      <c r="I777" s="70"/>
    </row>
    <row r="778" spans="8:9" ht="13" x14ac:dyDescent="0.15">
      <c r="H778" s="70"/>
      <c r="I778" s="70"/>
    </row>
    <row r="779" spans="8:9" ht="13" x14ac:dyDescent="0.15">
      <c r="H779" s="70"/>
      <c r="I779" s="70"/>
    </row>
    <row r="780" spans="8:9" ht="13" x14ac:dyDescent="0.15">
      <c r="H780" s="70"/>
      <c r="I780" s="70"/>
    </row>
    <row r="781" spans="8:9" ht="13" x14ac:dyDescent="0.15">
      <c r="H781" s="70"/>
      <c r="I781" s="70"/>
    </row>
    <row r="782" spans="8:9" ht="13" x14ac:dyDescent="0.15">
      <c r="H782" s="70"/>
      <c r="I782" s="70"/>
    </row>
    <row r="783" spans="8:9" ht="13" x14ac:dyDescent="0.15">
      <c r="H783" s="70"/>
      <c r="I783" s="70"/>
    </row>
    <row r="784" spans="8:9" ht="13" x14ac:dyDescent="0.15">
      <c r="H784" s="70"/>
      <c r="I784" s="70"/>
    </row>
    <row r="785" spans="8:9" ht="13" x14ac:dyDescent="0.15">
      <c r="H785" s="70"/>
      <c r="I785" s="70"/>
    </row>
    <row r="786" spans="8:9" ht="13" x14ac:dyDescent="0.15">
      <c r="H786" s="70"/>
      <c r="I786" s="70"/>
    </row>
    <row r="787" spans="8:9" ht="13" x14ac:dyDescent="0.15">
      <c r="H787" s="70"/>
      <c r="I787" s="70"/>
    </row>
    <row r="788" spans="8:9" ht="13" x14ac:dyDescent="0.15">
      <c r="H788" s="70"/>
      <c r="I788" s="70"/>
    </row>
    <row r="789" spans="8:9" ht="13" x14ac:dyDescent="0.15">
      <c r="H789" s="70"/>
      <c r="I789" s="70"/>
    </row>
    <row r="790" spans="8:9" ht="13" x14ac:dyDescent="0.15">
      <c r="H790" s="70"/>
      <c r="I790" s="70"/>
    </row>
    <row r="791" spans="8:9" ht="13" x14ac:dyDescent="0.15">
      <c r="H791" s="70"/>
      <c r="I791" s="70"/>
    </row>
    <row r="792" spans="8:9" ht="13" x14ac:dyDescent="0.15">
      <c r="H792" s="70"/>
      <c r="I792" s="70"/>
    </row>
    <row r="793" spans="8:9" ht="13" x14ac:dyDescent="0.15">
      <c r="H793" s="70"/>
      <c r="I793" s="70"/>
    </row>
    <row r="794" spans="8:9" ht="13" x14ac:dyDescent="0.15">
      <c r="H794" s="70"/>
      <c r="I794" s="70"/>
    </row>
    <row r="795" spans="8:9" ht="13" x14ac:dyDescent="0.15">
      <c r="H795" s="70"/>
      <c r="I795" s="70"/>
    </row>
    <row r="796" spans="8:9" ht="13" x14ac:dyDescent="0.15">
      <c r="H796" s="70"/>
      <c r="I796" s="70"/>
    </row>
    <row r="797" spans="8:9" ht="13" x14ac:dyDescent="0.15">
      <c r="H797" s="70"/>
      <c r="I797" s="70"/>
    </row>
    <row r="798" spans="8:9" ht="13" x14ac:dyDescent="0.15">
      <c r="H798" s="70"/>
      <c r="I798" s="70"/>
    </row>
    <row r="799" spans="8:9" ht="13" x14ac:dyDescent="0.15">
      <c r="H799" s="70"/>
      <c r="I799" s="70"/>
    </row>
    <row r="800" spans="8:9" ht="13" x14ac:dyDescent="0.15">
      <c r="H800" s="70"/>
      <c r="I800" s="70"/>
    </row>
    <row r="801" spans="8:9" ht="13" x14ac:dyDescent="0.15">
      <c r="H801" s="70"/>
      <c r="I801" s="70"/>
    </row>
    <row r="802" spans="8:9" ht="13" x14ac:dyDescent="0.15">
      <c r="H802" s="70"/>
      <c r="I802" s="70"/>
    </row>
    <row r="803" spans="8:9" ht="13" x14ac:dyDescent="0.15">
      <c r="H803" s="70"/>
      <c r="I803" s="70"/>
    </row>
    <row r="804" spans="8:9" ht="13" x14ac:dyDescent="0.15">
      <c r="H804" s="70"/>
      <c r="I804" s="70"/>
    </row>
    <row r="805" spans="8:9" ht="13" x14ac:dyDescent="0.15">
      <c r="H805" s="70"/>
      <c r="I805" s="70"/>
    </row>
    <row r="806" spans="8:9" ht="13" x14ac:dyDescent="0.15">
      <c r="H806" s="70"/>
      <c r="I806" s="70"/>
    </row>
    <row r="807" spans="8:9" ht="13" x14ac:dyDescent="0.15">
      <c r="H807" s="70"/>
      <c r="I807" s="70"/>
    </row>
    <row r="808" spans="8:9" ht="13" x14ac:dyDescent="0.15">
      <c r="H808" s="70"/>
      <c r="I808" s="70"/>
    </row>
    <row r="809" spans="8:9" ht="13" x14ac:dyDescent="0.15">
      <c r="H809" s="70"/>
      <c r="I809" s="70"/>
    </row>
    <row r="810" spans="8:9" ht="13" x14ac:dyDescent="0.15">
      <c r="H810" s="70"/>
      <c r="I810" s="70"/>
    </row>
    <row r="811" spans="8:9" ht="13" x14ac:dyDescent="0.15">
      <c r="H811" s="70"/>
      <c r="I811" s="70"/>
    </row>
    <row r="812" spans="8:9" ht="13" x14ac:dyDescent="0.15">
      <c r="H812" s="70"/>
      <c r="I812" s="70"/>
    </row>
    <row r="813" spans="8:9" ht="13" x14ac:dyDescent="0.15">
      <c r="H813" s="70"/>
      <c r="I813" s="70"/>
    </row>
    <row r="814" spans="8:9" ht="13" x14ac:dyDescent="0.15">
      <c r="H814" s="70"/>
      <c r="I814" s="70"/>
    </row>
    <row r="815" spans="8:9" ht="13" x14ac:dyDescent="0.15">
      <c r="H815" s="70"/>
      <c r="I815" s="70"/>
    </row>
    <row r="816" spans="8:9" ht="13" x14ac:dyDescent="0.15">
      <c r="H816" s="70"/>
      <c r="I816" s="70"/>
    </row>
    <row r="817" spans="8:9" ht="13" x14ac:dyDescent="0.15">
      <c r="H817" s="70"/>
      <c r="I817" s="70"/>
    </row>
    <row r="818" spans="8:9" ht="13" x14ac:dyDescent="0.15">
      <c r="H818" s="70"/>
      <c r="I818" s="70"/>
    </row>
    <row r="819" spans="8:9" ht="13" x14ac:dyDescent="0.15">
      <c r="H819" s="70"/>
      <c r="I819" s="70"/>
    </row>
    <row r="820" spans="8:9" ht="13" x14ac:dyDescent="0.15">
      <c r="H820" s="70"/>
      <c r="I820" s="70"/>
    </row>
    <row r="821" spans="8:9" ht="13" x14ac:dyDescent="0.15">
      <c r="H821" s="70"/>
      <c r="I821" s="70"/>
    </row>
    <row r="822" spans="8:9" ht="13" x14ac:dyDescent="0.15">
      <c r="H822" s="70"/>
      <c r="I822" s="70"/>
    </row>
    <row r="823" spans="8:9" ht="13" x14ac:dyDescent="0.15">
      <c r="H823" s="70"/>
      <c r="I823" s="70"/>
    </row>
    <row r="824" spans="8:9" ht="13" x14ac:dyDescent="0.15">
      <c r="H824" s="70"/>
      <c r="I824" s="70"/>
    </row>
    <row r="825" spans="8:9" ht="13" x14ac:dyDescent="0.15">
      <c r="H825" s="70"/>
      <c r="I825" s="70"/>
    </row>
    <row r="826" spans="8:9" ht="13" x14ac:dyDescent="0.15">
      <c r="H826" s="70"/>
      <c r="I826" s="70"/>
    </row>
    <row r="827" spans="8:9" ht="13" x14ac:dyDescent="0.15">
      <c r="H827" s="70"/>
      <c r="I827" s="70"/>
    </row>
    <row r="828" spans="8:9" ht="13" x14ac:dyDescent="0.15">
      <c r="H828" s="70"/>
      <c r="I828" s="70"/>
    </row>
    <row r="829" spans="8:9" ht="13" x14ac:dyDescent="0.15">
      <c r="H829" s="70"/>
      <c r="I829" s="70"/>
    </row>
    <row r="830" spans="8:9" ht="13" x14ac:dyDescent="0.15">
      <c r="H830" s="70"/>
      <c r="I830" s="70"/>
    </row>
    <row r="831" spans="8:9" ht="13" x14ac:dyDescent="0.15">
      <c r="H831" s="70"/>
      <c r="I831" s="70"/>
    </row>
    <row r="832" spans="8:9" ht="13" x14ac:dyDescent="0.15">
      <c r="H832" s="70"/>
      <c r="I832" s="70"/>
    </row>
    <row r="833" spans="8:9" ht="13" x14ac:dyDescent="0.15">
      <c r="H833" s="70"/>
      <c r="I833" s="70"/>
    </row>
    <row r="834" spans="8:9" ht="13" x14ac:dyDescent="0.15">
      <c r="H834" s="70"/>
      <c r="I834" s="70"/>
    </row>
    <row r="835" spans="8:9" ht="13" x14ac:dyDescent="0.15">
      <c r="H835" s="70"/>
      <c r="I835" s="70"/>
    </row>
    <row r="836" spans="8:9" ht="13" x14ac:dyDescent="0.15">
      <c r="H836" s="70"/>
      <c r="I836" s="70"/>
    </row>
    <row r="837" spans="8:9" ht="13" x14ac:dyDescent="0.15">
      <c r="H837" s="70"/>
      <c r="I837" s="70"/>
    </row>
    <row r="838" spans="8:9" ht="13" x14ac:dyDescent="0.15">
      <c r="H838" s="70"/>
      <c r="I838" s="70"/>
    </row>
    <row r="839" spans="8:9" ht="13" x14ac:dyDescent="0.15">
      <c r="H839" s="70"/>
      <c r="I839" s="70"/>
    </row>
    <row r="840" spans="8:9" ht="13" x14ac:dyDescent="0.15">
      <c r="H840" s="70"/>
      <c r="I840" s="70"/>
    </row>
    <row r="841" spans="8:9" ht="13" x14ac:dyDescent="0.15">
      <c r="H841" s="70"/>
      <c r="I841" s="70"/>
    </row>
    <row r="842" spans="8:9" ht="13" x14ac:dyDescent="0.15">
      <c r="H842" s="70"/>
      <c r="I842" s="70"/>
    </row>
    <row r="843" spans="8:9" ht="13" x14ac:dyDescent="0.15">
      <c r="H843" s="70"/>
      <c r="I843" s="70"/>
    </row>
    <row r="844" spans="8:9" ht="13" x14ac:dyDescent="0.15">
      <c r="H844" s="70"/>
      <c r="I844" s="70"/>
    </row>
    <row r="845" spans="8:9" ht="13" x14ac:dyDescent="0.15">
      <c r="H845" s="70"/>
      <c r="I845" s="70"/>
    </row>
    <row r="846" spans="8:9" ht="13" x14ac:dyDescent="0.15">
      <c r="H846" s="70"/>
      <c r="I846" s="70"/>
    </row>
    <row r="847" spans="8:9" ht="13" x14ac:dyDescent="0.15">
      <c r="H847" s="70"/>
      <c r="I847" s="70"/>
    </row>
    <row r="848" spans="8:9" ht="13" x14ac:dyDescent="0.15">
      <c r="H848" s="70"/>
      <c r="I848" s="70"/>
    </row>
    <row r="849" spans="8:9" ht="13" x14ac:dyDescent="0.15">
      <c r="H849" s="70"/>
      <c r="I849" s="70"/>
    </row>
    <row r="850" spans="8:9" ht="13" x14ac:dyDescent="0.15">
      <c r="H850" s="70"/>
      <c r="I850" s="70"/>
    </row>
    <row r="851" spans="8:9" ht="13" x14ac:dyDescent="0.15">
      <c r="H851" s="70"/>
      <c r="I851" s="70"/>
    </row>
    <row r="852" spans="8:9" ht="13" x14ac:dyDescent="0.15">
      <c r="H852" s="70"/>
      <c r="I852" s="70"/>
    </row>
    <row r="853" spans="8:9" ht="13" x14ac:dyDescent="0.15">
      <c r="H853" s="70"/>
      <c r="I853" s="70"/>
    </row>
    <row r="854" spans="8:9" ht="13" x14ac:dyDescent="0.15">
      <c r="H854" s="70"/>
      <c r="I854" s="70"/>
    </row>
    <row r="855" spans="8:9" ht="13" x14ac:dyDescent="0.15">
      <c r="H855" s="70"/>
      <c r="I855" s="70"/>
    </row>
    <row r="856" spans="8:9" ht="13" x14ac:dyDescent="0.15">
      <c r="H856" s="70"/>
      <c r="I856" s="70"/>
    </row>
    <row r="857" spans="8:9" ht="13" x14ac:dyDescent="0.15">
      <c r="H857" s="70"/>
      <c r="I857" s="70"/>
    </row>
    <row r="858" spans="8:9" ht="13" x14ac:dyDescent="0.15">
      <c r="H858" s="70"/>
      <c r="I858" s="70"/>
    </row>
    <row r="859" spans="8:9" ht="13" x14ac:dyDescent="0.15">
      <c r="H859" s="70"/>
      <c r="I859" s="70"/>
    </row>
    <row r="860" spans="8:9" ht="13" x14ac:dyDescent="0.15">
      <c r="H860" s="70"/>
      <c r="I860" s="70"/>
    </row>
    <row r="861" spans="8:9" ht="13" x14ac:dyDescent="0.15">
      <c r="H861" s="70"/>
      <c r="I861" s="70"/>
    </row>
    <row r="862" spans="8:9" ht="13" x14ac:dyDescent="0.15">
      <c r="H862" s="70"/>
      <c r="I862" s="70"/>
    </row>
    <row r="863" spans="8:9" ht="13" x14ac:dyDescent="0.15">
      <c r="H863" s="70"/>
      <c r="I863" s="70"/>
    </row>
    <row r="864" spans="8:9" ht="13" x14ac:dyDescent="0.15">
      <c r="H864" s="70"/>
      <c r="I864" s="70"/>
    </row>
    <row r="865" spans="8:9" ht="13" x14ac:dyDescent="0.15">
      <c r="H865" s="70"/>
      <c r="I865" s="70"/>
    </row>
    <row r="866" spans="8:9" ht="13" x14ac:dyDescent="0.15">
      <c r="H866" s="70"/>
      <c r="I866" s="70"/>
    </row>
    <row r="867" spans="8:9" ht="13" x14ac:dyDescent="0.15">
      <c r="H867" s="70"/>
      <c r="I867" s="70"/>
    </row>
    <row r="868" spans="8:9" ht="13" x14ac:dyDescent="0.15">
      <c r="H868" s="70"/>
      <c r="I868" s="70"/>
    </row>
    <row r="869" spans="8:9" ht="13" x14ac:dyDescent="0.15">
      <c r="H869" s="70"/>
      <c r="I869" s="70"/>
    </row>
    <row r="870" spans="8:9" ht="13" x14ac:dyDescent="0.15">
      <c r="H870" s="70"/>
      <c r="I870" s="70"/>
    </row>
    <row r="871" spans="8:9" ht="13" x14ac:dyDescent="0.15">
      <c r="H871" s="70"/>
      <c r="I871" s="70"/>
    </row>
    <row r="872" spans="8:9" ht="13" x14ac:dyDescent="0.15">
      <c r="H872" s="70"/>
      <c r="I872" s="70"/>
    </row>
    <row r="873" spans="8:9" ht="13" x14ac:dyDescent="0.15">
      <c r="H873" s="70"/>
      <c r="I873" s="70"/>
    </row>
    <row r="874" spans="8:9" ht="13" x14ac:dyDescent="0.15">
      <c r="H874" s="70"/>
      <c r="I874" s="70"/>
    </row>
    <row r="875" spans="8:9" ht="13" x14ac:dyDescent="0.15">
      <c r="H875" s="70"/>
      <c r="I875" s="70"/>
    </row>
    <row r="876" spans="8:9" ht="13" x14ac:dyDescent="0.15">
      <c r="H876" s="70"/>
      <c r="I876" s="70"/>
    </row>
    <row r="877" spans="8:9" ht="13" x14ac:dyDescent="0.15">
      <c r="H877" s="70"/>
      <c r="I877" s="70"/>
    </row>
    <row r="878" spans="8:9" ht="13" x14ac:dyDescent="0.15">
      <c r="H878" s="70"/>
      <c r="I878" s="70"/>
    </row>
    <row r="879" spans="8:9" ht="13" x14ac:dyDescent="0.15">
      <c r="H879" s="70"/>
      <c r="I879" s="70"/>
    </row>
    <row r="880" spans="8:9" ht="13" x14ac:dyDescent="0.15">
      <c r="H880" s="70"/>
      <c r="I880" s="70"/>
    </row>
    <row r="881" spans="8:9" ht="13" x14ac:dyDescent="0.15">
      <c r="H881" s="70"/>
      <c r="I881" s="70"/>
    </row>
    <row r="882" spans="8:9" ht="13" x14ac:dyDescent="0.15">
      <c r="H882" s="70"/>
      <c r="I882" s="70"/>
    </row>
    <row r="883" spans="8:9" ht="13" x14ac:dyDescent="0.15">
      <c r="H883" s="70"/>
      <c r="I883" s="70"/>
    </row>
    <row r="884" spans="8:9" ht="13" x14ac:dyDescent="0.15">
      <c r="H884" s="70"/>
      <c r="I884" s="70"/>
    </row>
    <row r="885" spans="8:9" ht="13" x14ac:dyDescent="0.15">
      <c r="H885" s="70"/>
      <c r="I885" s="70"/>
    </row>
    <row r="886" spans="8:9" ht="13" x14ac:dyDescent="0.15">
      <c r="H886" s="70"/>
      <c r="I886" s="70"/>
    </row>
    <row r="887" spans="8:9" ht="13" x14ac:dyDescent="0.15">
      <c r="H887" s="70"/>
      <c r="I887" s="70"/>
    </row>
    <row r="888" spans="8:9" ht="13" x14ac:dyDescent="0.15">
      <c r="H888" s="70"/>
      <c r="I888" s="70"/>
    </row>
    <row r="889" spans="8:9" ht="13" x14ac:dyDescent="0.15">
      <c r="H889" s="70"/>
      <c r="I889" s="70"/>
    </row>
    <row r="890" spans="8:9" ht="13" x14ac:dyDescent="0.15">
      <c r="H890" s="70"/>
      <c r="I890" s="70"/>
    </row>
    <row r="891" spans="8:9" ht="13" x14ac:dyDescent="0.15">
      <c r="H891" s="70"/>
      <c r="I891" s="70"/>
    </row>
    <row r="892" spans="8:9" ht="13" x14ac:dyDescent="0.15">
      <c r="H892" s="70"/>
      <c r="I892" s="70"/>
    </row>
    <row r="893" spans="8:9" ht="13" x14ac:dyDescent="0.15">
      <c r="H893" s="70"/>
      <c r="I893" s="70"/>
    </row>
    <row r="894" spans="8:9" ht="13" x14ac:dyDescent="0.15">
      <c r="H894" s="70"/>
      <c r="I894" s="70"/>
    </row>
    <row r="895" spans="8:9" ht="13" x14ac:dyDescent="0.15">
      <c r="H895" s="70"/>
      <c r="I895" s="70"/>
    </row>
    <row r="896" spans="8:9" ht="13" x14ac:dyDescent="0.15">
      <c r="H896" s="70"/>
      <c r="I896" s="70"/>
    </row>
    <row r="897" spans="8:9" ht="13" x14ac:dyDescent="0.15">
      <c r="H897" s="70"/>
      <c r="I897" s="70"/>
    </row>
    <row r="898" spans="8:9" ht="13" x14ac:dyDescent="0.15">
      <c r="H898" s="70"/>
      <c r="I898" s="70"/>
    </row>
    <row r="899" spans="8:9" ht="13" x14ac:dyDescent="0.15">
      <c r="H899" s="70"/>
      <c r="I899" s="70"/>
    </row>
    <row r="900" spans="8:9" ht="13" x14ac:dyDescent="0.15">
      <c r="H900" s="70"/>
      <c r="I900" s="70"/>
    </row>
    <row r="901" spans="8:9" ht="13" x14ac:dyDescent="0.15">
      <c r="H901" s="70"/>
      <c r="I901" s="70"/>
    </row>
    <row r="902" spans="8:9" ht="13" x14ac:dyDescent="0.15">
      <c r="H902" s="70"/>
      <c r="I902" s="70"/>
    </row>
    <row r="903" spans="8:9" ht="13" x14ac:dyDescent="0.15">
      <c r="H903" s="70"/>
      <c r="I903" s="70"/>
    </row>
    <row r="904" spans="8:9" ht="13" x14ac:dyDescent="0.15">
      <c r="H904" s="70"/>
      <c r="I904" s="70"/>
    </row>
    <row r="905" spans="8:9" ht="13" x14ac:dyDescent="0.15">
      <c r="H905" s="70"/>
      <c r="I905" s="70"/>
    </row>
    <row r="906" spans="8:9" ht="13" x14ac:dyDescent="0.15">
      <c r="H906" s="70"/>
      <c r="I906" s="70"/>
    </row>
    <row r="907" spans="8:9" ht="13" x14ac:dyDescent="0.15">
      <c r="H907" s="70"/>
      <c r="I907" s="70"/>
    </row>
    <row r="908" spans="8:9" ht="13" x14ac:dyDescent="0.15">
      <c r="H908" s="70"/>
      <c r="I908" s="70"/>
    </row>
    <row r="909" spans="8:9" ht="13" x14ac:dyDescent="0.15">
      <c r="H909" s="70"/>
      <c r="I909" s="70"/>
    </row>
    <row r="910" spans="8:9" ht="13" x14ac:dyDescent="0.15">
      <c r="H910" s="70"/>
      <c r="I910" s="70"/>
    </row>
    <row r="911" spans="8:9" ht="13" x14ac:dyDescent="0.15">
      <c r="H911" s="70"/>
      <c r="I911" s="70"/>
    </row>
    <row r="912" spans="8:9" ht="13" x14ac:dyDescent="0.15">
      <c r="H912" s="70"/>
      <c r="I912" s="70"/>
    </row>
    <row r="913" spans="8:9" ht="13" x14ac:dyDescent="0.15">
      <c r="H913" s="70"/>
      <c r="I913" s="70"/>
    </row>
    <row r="914" spans="8:9" ht="13" x14ac:dyDescent="0.15">
      <c r="H914" s="70"/>
      <c r="I914" s="70"/>
    </row>
    <row r="915" spans="8:9" ht="13" x14ac:dyDescent="0.15">
      <c r="H915" s="70"/>
      <c r="I915" s="70"/>
    </row>
    <row r="916" spans="8:9" ht="13" x14ac:dyDescent="0.15">
      <c r="H916" s="70"/>
      <c r="I916" s="70"/>
    </row>
    <row r="917" spans="8:9" ht="13" x14ac:dyDescent="0.15">
      <c r="H917" s="70"/>
      <c r="I917" s="70"/>
    </row>
    <row r="918" spans="8:9" ht="13" x14ac:dyDescent="0.15">
      <c r="H918" s="70"/>
      <c r="I918" s="70"/>
    </row>
    <row r="919" spans="8:9" ht="13" x14ac:dyDescent="0.15">
      <c r="H919" s="70"/>
      <c r="I919" s="70"/>
    </row>
    <row r="920" spans="8:9" ht="13" x14ac:dyDescent="0.15">
      <c r="H920" s="70"/>
      <c r="I920" s="70"/>
    </row>
    <row r="921" spans="8:9" ht="13" x14ac:dyDescent="0.15">
      <c r="H921" s="70"/>
      <c r="I921" s="70"/>
    </row>
    <row r="922" spans="8:9" ht="13" x14ac:dyDescent="0.15">
      <c r="H922" s="70"/>
      <c r="I922" s="70"/>
    </row>
    <row r="923" spans="8:9" ht="13" x14ac:dyDescent="0.15">
      <c r="H923" s="70"/>
      <c r="I923" s="70"/>
    </row>
    <row r="924" spans="8:9" ht="13" x14ac:dyDescent="0.15">
      <c r="H924" s="70"/>
      <c r="I924" s="70"/>
    </row>
    <row r="925" spans="8:9" ht="13" x14ac:dyDescent="0.15">
      <c r="H925" s="70"/>
      <c r="I925" s="70"/>
    </row>
    <row r="926" spans="8:9" ht="13" x14ac:dyDescent="0.15">
      <c r="H926" s="70"/>
      <c r="I926" s="70"/>
    </row>
    <row r="927" spans="8:9" ht="13" x14ac:dyDescent="0.15">
      <c r="H927" s="70"/>
      <c r="I927" s="70"/>
    </row>
    <row r="928" spans="8:9" ht="13" x14ac:dyDescent="0.15">
      <c r="H928" s="70"/>
      <c r="I928" s="70"/>
    </row>
    <row r="929" spans="8:9" ht="13" x14ac:dyDescent="0.15">
      <c r="H929" s="70"/>
      <c r="I929" s="70"/>
    </row>
    <row r="930" spans="8:9" ht="13" x14ac:dyDescent="0.15">
      <c r="H930" s="70"/>
      <c r="I930" s="70"/>
    </row>
    <row r="931" spans="8:9" ht="13" x14ac:dyDescent="0.15">
      <c r="H931" s="70"/>
      <c r="I931" s="70"/>
    </row>
    <row r="932" spans="8:9" ht="13" x14ac:dyDescent="0.15">
      <c r="H932" s="70"/>
      <c r="I932" s="70"/>
    </row>
    <row r="933" spans="8:9" ht="13" x14ac:dyDescent="0.15">
      <c r="H933" s="70"/>
      <c r="I933" s="70"/>
    </row>
    <row r="934" spans="8:9" ht="13" x14ac:dyDescent="0.15">
      <c r="H934" s="70"/>
      <c r="I934" s="70"/>
    </row>
    <row r="935" spans="8:9" ht="13" x14ac:dyDescent="0.15">
      <c r="H935" s="70"/>
      <c r="I935" s="70"/>
    </row>
    <row r="936" spans="8:9" ht="13" x14ac:dyDescent="0.15">
      <c r="H936" s="70"/>
      <c r="I936" s="70"/>
    </row>
    <row r="937" spans="8:9" ht="13" x14ac:dyDescent="0.15">
      <c r="H937" s="70"/>
      <c r="I937" s="70"/>
    </row>
    <row r="938" spans="8:9" ht="13" x14ac:dyDescent="0.15">
      <c r="H938" s="70"/>
      <c r="I938" s="70"/>
    </row>
    <row r="939" spans="8:9" ht="13" x14ac:dyDescent="0.15">
      <c r="H939" s="70"/>
      <c r="I939" s="70"/>
    </row>
    <row r="940" spans="8:9" ht="13" x14ac:dyDescent="0.15">
      <c r="H940" s="70"/>
      <c r="I940" s="70"/>
    </row>
    <row r="941" spans="8:9" ht="13" x14ac:dyDescent="0.15">
      <c r="H941" s="70"/>
      <c r="I941" s="70"/>
    </row>
    <row r="942" spans="8:9" ht="13" x14ac:dyDescent="0.15">
      <c r="H942" s="70"/>
      <c r="I942" s="70"/>
    </row>
    <row r="943" spans="8:9" ht="13" x14ac:dyDescent="0.15">
      <c r="H943" s="70"/>
      <c r="I943" s="70"/>
    </row>
    <row r="944" spans="8:9" ht="13" x14ac:dyDescent="0.15">
      <c r="H944" s="70"/>
      <c r="I944" s="70"/>
    </row>
    <row r="945" spans="8:9" ht="13" x14ac:dyDescent="0.15">
      <c r="H945" s="70"/>
      <c r="I945" s="70"/>
    </row>
    <row r="946" spans="8:9" ht="13" x14ac:dyDescent="0.15">
      <c r="H946" s="70"/>
      <c r="I946" s="70"/>
    </row>
    <row r="947" spans="8:9" ht="13" x14ac:dyDescent="0.15">
      <c r="H947" s="70"/>
      <c r="I947" s="70"/>
    </row>
    <row r="948" spans="8:9" ht="13" x14ac:dyDescent="0.15">
      <c r="H948" s="70"/>
      <c r="I948" s="70"/>
    </row>
    <row r="949" spans="8:9" ht="13" x14ac:dyDescent="0.15">
      <c r="H949" s="70"/>
      <c r="I949" s="70"/>
    </row>
    <row r="950" spans="8:9" ht="13" x14ac:dyDescent="0.15">
      <c r="H950" s="70"/>
      <c r="I950" s="70"/>
    </row>
    <row r="951" spans="8:9" ht="13" x14ac:dyDescent="0.15">
      <c r="H951" s="70"/>
      <c r="I951" s="70"/>
    </row>
    <row r="952" spans="8:9" ht="13" x14ac:dyDescent="0.15">
      <c r="H952" s="70"/>
      <c r="I952" s="70"/>
    </row>
    <row r="953" spans="8:9" ht="13" x14ac:dyDescent="0.15">
      <c r="H953" s="70"/>
      <c r="I953" s="70"/>
    </row>
    <row r="954" spans="8:9" ht="13" x14ac:dyDescent="0.15">
      <c r="H954" s="70"/>
      <c r="I954" s="70"/>
    </row>
    <row r="955" spans="8:9" ht="13" x14ac:dyDescent="0.15">
      <c r="H955" s="70"/>
      <c r="I955" s="70"/>
    </row>
    <row r="956" spans="8:9" ht="13" x14ac:dyDescent="0.15">
      <c r="H956" s="70"/>
      <c r="I956" s="70"/>
    </row>
    <row r="957" spans="8:9" ht="13" x14ac:dyDescent="0.15">
      <c r="H957" s="70"/>
      <c r="I957" s="70"/>
    </row>
    <row r="958" spans="8:9" ht="13" x14ac:dyDescent="0.15">
      <c r="H958" s="70"/>
      <c r="I958" s="70"/>
    </row>
    <row r="959" spans="8:9" ht="13" x14ac:dyDescent="0.15">
      <c r="H959" s="70"/>
      <c r="I959" s="70"/>
    </row>
    <row r="960" spans="8:9" ht="13" x14ac:dyDescent="0.15">
      <c r="H960" s="70"/>
      <c r="I960" s="70"/>
    </row>
    <row r="961" spans="8:9" ht="13" x14ac:dyDescent="0.15">
      <c r="H961" s="70"/>
      <c r="I961" s="70"/>
    </row>
    <row r="962" spans="8:9" ht="13" x14ac:dyDescent="0.15">
      <c r="H962" s="70"/>
      <c r="I962" s="70"/>
    </row>
    <row r="963" spans="8:9" ht="13" x14ac:dyDescent="0.15">
      <c r="H963" s="70"/>
      <c r="I963" s="70"/>
    </row>
    <row r="964" spans="8:9" ht="13" x14ac:dyDescent="0.15">
      <c r="H964" s="70"/>
      <c r="I964" s="70"/>
    </row>
    <row r="965" spans="8:9" ht="13" x14ac:dyDescent="0.15">
      <c r="H965" s="70"/>
      <c r="I965" s="70"/>
    </row>
    <row r="966" spans="8:9" ht="13" x14ac:dyDescent="0.15">
      <c r="H966" s="70"/>
      <c r="I966" s="70"/>
    </row>
    <row r="967" spans="8:9" ht="13" x14ac:dyDescent="0.15">
      <c r="H967" s="70"/>
      <c r="I967" s="70"/>
    </row>
    <row r="968" spans="8:9" ht="13" x14ac:dyDescent="0.15">
      <c r="H968" s="70"/>
      <c r="I968" s="70"/>
    </row>
    <row r="969" spans="8:9" ht="13" x14ac:dyDescent="0.15">
      <c r="H969" s="70"/>
      <c r="I969" s="70"/>
    </row>
    <row r="970" spans="8:9" ht="13" x14ac:dyDescent="0.15">
      <c r="H970" s="70"/>
      <c r="I970" s="70"/>
    </row>
    <row r="971" spans="8:9" ht="13" x14ac:dyDescent="0.15">
      <c r="H971" s="70"/>
      <c r="I971" s="70"/>
    </row>
    <row r="972" spans="8:9" ht="13" x14ac:dyDescent="0.15">
      <c r="H972" s="70"/>
      <c r="I972" s="70"/>
    </row>
    <row r="973" spans="8:9" ht="13" x14ac:dyDescent="0.15">
      <c r="H973" s="70"/>
      <c r="I973" s="70"/>
    </row>
    <row r="974" spans="8:9" ht="13" x14ac:dyDescent="0.15">
      <c r="H974" s="70"/>
      <c r="I974" s="70"/>
    </row>
    <row r="975" spans="8:9" ht="13" x14ac:dyDescent="0.15">
      <c r="H975" s="70"/>
      <c r="I975" s="70"/>
    </row>
    <row r="976" spans="8:9" ht="13" x14ac:dyDescent="0.15">
      <c r="H976" s="70"/>
      <c r="I976" s="70"/>
    </row>
    <row r="977" spans="8:9" ht="13" x14ac:dyDescent="0.15">
      <c r="H977" s="70"/>
      <c r="I977" s="70"/>
    </row>
    <row r="978" spans="8:9" ht="13" x14ac:dyDescent="0.15">
      <c r="H978" s="70"/>
      <c r="I978" s="70"/>
    </row>
    <row r="979" spans="8:9" ht="13" x14ac:dyDescent="0.15">
      <c r="H979" s="70"/>
      <c r="I979" s="70"/>
    </row>
    <row r="980" spans="8:9" ht="13" x14ac:dyDescent="0.15">
      <c r="H980" s="70"/>
      <c r="I980" s="70"/>
    </row>
    <row r="981" spans="8:9" ht="13" x14ac:dyDescent="0.15">
      <c r="H981" s="70"/>
      <c r="I981" s="70"/>
    </row>
    <row r="982" spans="8:9" ht="13" x14ac:dyDescent="0.15">
      <c r="H982" s="70"/>
      <c r="I982" s="70"/>
    </row>
    <row r="983" spans="8:9" ht="13" x14ac:dyDescent="0.15">
      <c r="H983" s="70"/>
      <c r="I983" s="70"/>
    </row>
    <row r="984" spans="8:9" ht="13" x14ac:dyDescent="0.15">
      <c r="H984" s="70"/>
      <c r="I984" s="70"/>
    </row>
    <row r="985" spans="8:9" ht="13" x14ac:dyDescent="0.15">
      <c r="H985" s="70"/>
      <c r="I985" s="70"/>
    </row>
    <row r="986" spans="8:9" ht="13" x14ac:dyDescent="0.15">
      <c r="H986" s="70"/>
      <c r="I986" s="70"/>
    </row>
    <row r="987" spans="8:9" ht="13" x14ac:dyDescent="0.15">
      <c r="H987" s="70"/>
      <c r="I987" s="70"/>
    </row>
    <row r="988" spans="8:9" ht="13" x14ac:dyDescent="0.15">
      <c r="H988" s="70"/>
      <c r="I988" s="70"/>
    </row>
    <row r="989" spans="8:9" ht="13" x14ac:dyDescent="0.15">
      <c r="H989" s="70"/>
      <c r="I989" s="70"/>
    </row>
    <row r="990" spans="8:9" ht="13" x14ac:dyDescent="0.15">
      <c r="H990" s="70"/>
      <c r="I990" s="70"/>
    </row>
    <row r="991" spans="8:9" ht="13" x14ac:dyDescent="0.15">
      <c r="H991" s="70"/>
      <c r="I991" s="70"/>
    </row>
    <row r="992" spans="8:9" ht="13" x14ac:dyDescent="0.15">
      <c r="H992" s="70"/>
      <c r="I992" s="70"/>
    </row>
    <row r="993" spans="8:9" ht="13" x14ac:dyDescent="0.15">
      <c r="H993" s="70"/>
      <c r="I993" s="70"/>
    </row>
    <row r="994" spans="8:9" ht="13" x14ac:dyDescent="0.15">
      <c r="H994" s="70"/>
      <c r="I994" s="70"/>
    </row>
    <row r="995" spans="8:9" ht="13" x14ac:dyDescent="0.15">
      <c r="H995" s="70"/>
      <c r="I995" s="70"/>
    </row>
    <row r="996" spans="8:9" ht="13" x14ac:dyDescent="0.15">
      <c r="H996" s="70"/>
      <c r="I996" s="70"/>
    </row>
    <row r="997" spans="8:9" ht="13" x14ac:dyDescent="0.15">
      <c r="H997" s="70"/>
      <c r="I997" s="70"/>
    </row>
    <row r="998" spans="8:9" ht="13" x14ac:dyDescent="0.15">
      <c r="H998" s="70"/>
      <c r="I998" s="70"/>
    </row>
    <row r="999" spans="8:9" ht="13" x14ac:dyDescent="0.15">
      <c r="H999" s="70"/>
      <c r="I999" s="70"/>
    </row>
    <row r="1000" spans="8:9" ht="13" x14ac:dyDescent="0.15">
      <c r="H1000" s="70"/>
      <c r="I1000" s="7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FF"/>
    <outlinePr summaryBelow="0" summaryRight="0"/>
  </sheetPr>
  <dimension ref="A1:Q1000"/>
  <sheetViews>
    <sheetView workbookViewId="0"/>
  </sheetViews>
  <sheetFormatPr baseColWidth="10" defaultColWidth="12.6640625" defaultRowHeight="15.75" customHeight="1" x14ac:dyDescent="0.15"/>
  <cols>
    <col min="1" max="1" width="32.83203125" customWidth="1"/>
    <col min="2" max="2" width="47.1640625" customWidth="1"/>
    <col min="10" max="10" width="1.33203125" customWidth="1"/>
  </cols>
  <sheetData>
    <row r="1" spans="1:17" ht="15.75" customHeight="1" x14ac:dyDescent="0.15">
      <c r="A1" s="40" t="s">
        <v>216</v>
      </c>
      <c r="B1" s="25"/>
      <c r="C1" s="25"/>
      <c r="D1" s="25"/>
      <c r="E1" s="25"/>
      <c r="F1" s="25"/>
      <c r="G1" s="25"/>
      <c r="H1" s="25"/>
      <c r="I1" s="25"/>
      <c r="J1" s="85"/>
      <c r="L1" s="25"/>
      <c r="M1" s="25"/>
      <c r="N1" s="25"/>
    </row>
    <row r="2" spans="1:17" ht="15.75" customHeight="1" x14ac:dyDescent="0.15">
      <c r="A2" s="25"/>
      <c r="B2" s="25"/>
      <c r="C2" s="25"/>
      <c r="D2" s="25"/>
      <c r="E2" s="25"/>
      <c r="F2" s="25"/>
      <c r="G2" s="25"/>
      <c r="H2" s="25"/>
      <c r="I2" s="25"/>
      <c r="J2" s="86"/>
      <c r="K2" s="25"/>
      <c r="L2" s="25"/>
      <c r="M2" s="25"/>
      <c r="N2" s="25"/>
    </row>
    <row r="3" spans="1:17" ht="15.75" customHeight="1" x14ac:dyDescent="0.15">
      <c r="A3" s="41"/>
      <c r="B3" s="41"/>
      <c r="C3" s="41"/>
      <c r="D3" s="41"/>
      <c r="E3" s="41"/>
      <c r="F3" s="41"/>
      <c r="G3" s="41"/>
      <c r="H3" s="41"/>
      <c r="I3" s="41"/>
      <c r="J3" s="87"/>
      <c r="K3" s="41"/>
      <c r="L3" s="41"/>
      <c r="M3" s="41"/>
      <c r="N3" s="41"/>
    </row>
    <row r="4" spans="1:17" ht="15.75" customHeight="1" x14ac:dyDescent="0.15">
      <c r="A4" s="42" t="s">
        <v>51</v>
      </c>
      <c r="B4" s="43" t="s">
        <v>52</v>
      </c>
      <c r="C4" s="43" t="s">
        <v>53</v>
      </c>
      <c r="D4" s="43" t="s">
        <v>54</v>
      </c>
      <c r="E4" s="43" t="s">
        <v>55</v>
      </c>
      <c r="F4" s="43" t="s">
        <v>56</v>
      </c>
      <c r="G4" s="43" t="s">
        <v>57</v>
      </c>
      <c r="H4" s="43" t="s">
        <v>58</v>
      </c>
      <c r="I4" s="43" t="s">
        <v>59</v>
      </c>
      <c r="J4" s="88"/>
      <c r="K4" s="43" t="s">
        <v>60</v>
      </c>
      <c r="L4" s="43" t="s">
        <v>61</v>
      </c>
      <c r="M4" s="43" t="s">
        <v>62</v>
      </c>
      <c r="N4" s="43" t="s">
        <v>63</v>
      </c>
    </row>
    <row r="5" spans="1:17" ht="15.75" customHeight="1" x14ac:dyDescent="0.15">
      <c r="A5" s="13"/>
      <c r="B5" s="44"/>
      <c r="C5" s="44"/>
      <c r="D5" s="44"/>
      <c r="E5" s="44"/>
      <c r="F5" s="44"/>
      <c r="G5" s="44"/>
      <c r="H5" s="64"/>
      <c r="I5" s="64"/>
      <c r="J5" s="89"/>
      <c r="K5" s="44"/>
      <c r="L5" s="44"/>
      <c r="M5" s="44"/>
      <c r="N5" s="44"/>
    </row>
    <row r="6" spans="1:17" ht="15.75" customHeight="1" x14ac:dyDescent="0.15">
      <c r="A6" s="13"/>
      <c r="B6" s="44" t="s">
        <v>217</v>
      </c>
      <c r="C6" s="45">
        <v>4</v>
      </c>
      <c r="D6" s="45" t="s">
        <v>218</v>
      </c>
      <c r="E6" s="45" t="s">
        <v>219</v>
      </c>
      <c r="F6" s="45" t="s">
        <v>37</v>
      </c>
      <c r="G6" s="45">
        <v>10</v>
      </c>
      <c r="H6" s="66">
        <v>30</v>
      </c>
      <c r="I6" s="66">
        <v>35</v>
      </c>
      <c r="J6" s="89"/>
      <c r="K6" s="47">
        <v>40</v>
      </c>
      <c r="L6" s="47">
        <v>37.5</v>
      </c>
      <c r="M6" s="47">
        <v>40</v>
      </c>
      <c r="N6" s="47">
        <v>40</v>
      </c>
    </row>
    <row r="7" spans="1:17" ht="15.75" customHeight="1" x14ac:dyDescent="0.15">
      <c r="A7" s="13"/>
      <c r="B7" s="64" t="s">
        <v>220</v>
      </c>
      <c r="C7" s="83">
        <v>4</v>
      </c>
      <c r="D7" s="83" t="s">
        <v>221</v>
      </c>
      <c r="E7" s="83" t="s">
        <v>66</v>
      </c>
      <c r="F7" s="83" t="s">
        <v>37</v>
      </c>
      <c r="G7" s="83">
        <v>10</v>
      </c>
      <c r="H7" s="66">
        <v>22.5</v>
      </c>
      <c r="I7" s="66">
        <v>25</v>
      </c>
      <c r="J7" s="90"/>
      <c r="K7" s="66">
        <v>30</v>
      </c>
      <c r="L7" s="66">
        <v>27.5</v>
      </c>
      <c r="M7" s="74">
        <v>30</v>
      </c>
      <c r="N7" s="66">
        <v>30</v>
      </c>
    </row>
    <row r="8" spans="1:17" ht="15.75" customHeight="1" x14ac:dyDescent="0.15">
      <c r="A8" s="13" t="s">
        <v>222</v>
      </c>
      <c r="B8" s="64" t="s">
        <v>223</v>
      </c>
      <c r="C8" s="83">
        <v>4</v>
      </c>
      <c r="D8" s="83" t="s">
        <v>218</v>
      </c>
      <c r="E8" s="83" t="s">
        <v>219</v>
      </c>
      <c r="F8" s="83" t="s">
        <v>37</v>
      </c>
      <c r="G8" s="83">
        <v>10</v>
      </c>
      <c r="H8" s="66">
        <v>50</v>
      </c>
      <c r="I8" s="66">
        <v>52.5</v>
      </c>
      <c r="J8" s="90"/>
      <c r="K8" s="66">
        <v>55</v>
      </c>
      <c r="L8" s="74">
        <v>55</v>
      </c>
      <c r="M8" s="66">
        <v>55</v>
      </c>
      <c r="N8" s="74">
        <v>55.7</v>
      </c>
    </row>
    <row r="9" spans="1:17" ht="15.75" customHeight="1" x14ac:dyDescent="0.15">
      <c r="A9" s="13"/>
      <c r="B9" s="64" t="s">
        <v>224</v>
      </c>
      <c r="C9" s="83">
        <v>4</v>
      </c>
      <c r="D9" s="83" t="s">
        <v>221</v>
      </c>
      <c r="E9" s="83" t="s">
        <v>66</v>
      </c>
      <c r="F9" s="83" t="s">
        <v>37</v>
      </c>
      <c r="G9" s="83">
        <v>10</v>
      </c>
      <c r="H9" s="66">
        <v>60</v>
      </c>
      <c r="I9" s="66">
        <v>65</v>
      </c>
      <c r="J9" s="90"/>
      <c r="K9" s="66">
        <v>70</v>
      </c>
      <c r="L9" s="66">
        <v>70</v>
      </c>
      <c r="M9" s="74">
        <v>75</v>
      </c>
      <c r="N9" s="66">
        <v>75</v>
      </c>
    </row>
    <row r="10" spans="1:17" ht="15.75" customHeight="1" x14ac:dyDescent="0.15">
      <c r="A10" s="13"/>
      <c r="B10" s="64" t="s">
        <v>225</v>
      </c>
      <c r="C10" s="83">
        <v>4</v>
      </c>
      <c r="D10" s="83" t="s">
        <v>81</v>
      </c>
      <c r="E10" s="83" t="s">
        <v>72</v>
      </c>
      <c r="F10" s="83" t="s">
        <v>37</v>
      </c>
      <c r="G10" s="83">
        <v>10</v>
      </c>
      <c r="H10" s="66">
        <v>35</v>
      </c>
      <c r="I10" s="66">
        <v>40</v>
      </c>
      <c r="J10" s="90"/>
      <c r="K10" s="66">
        <v>45</v>
      </c>
      <c r="L10" s="66">
        <v>50</v>
      </c>
      <c r="M10" s="66">
        <v>11</v>
      </c>
      <c r="N10" s="74">
        <v>12</v>
      </c>
    </row>
    <row r="11" spans="1:17" ht="15.75" customHeight="1" x14ac:dyDescent="0.15">
      <c r="A11" s="25"/>
      <c r="B11" s="34"/>
      <c r="C11" s="35"/>
      <c r="D11" s="35"/>
      <c r="E11" s="35"/>
      <c r="F11" s="35"/>
      <c r="G11" s="35"/>
      <c r="H11" s="34"/>
      <c r="I11" s="34"/>
      <c r="J11" s="86"/>
      <c r="K11" s="34"/>
      <c r="L11" s="34"/>
      <c r="M11" s="34"/>
      <c r="N11" s="34"/>
      <c r="O11" s="32"/>
      <c r="P11" s="32"/>
      <c r="Q11" s="32"/>
    </row>
    <row r="12" spans="1:17" ht="15.75" customHeight="1" x14ac:dyDescent="0.15">
      <c r="A12" s="25"/>
      <c r="B12" s="34"/>
      <c r="C12" s="34"/>
      <c r="D12" s="34"/>
      <c r="E12" s="34"/>
      <c r="F12" s="34"/>
      <c r="G12" s="34"/>
      <c r="H12" s="34"/>
      <c r="I12" s="34"/>
      <c r="J12" s="86"/>
      <c r="K12" s="34"/>
      <c r="L12" s="34"/>
      <c r="M12" s="34"/>
      <c r="N12" s="34"/>
      <c r="O12" s="32"/>
      <c r="P12" s="32"/>
      <c r="Q12" s="32"/>
    </row>
    <row r="13" spans="1:17" ht="15.75" customHeight="1" x14ac:dyDescent="0.15">
      <c r="A13" s="40" t="s">
        <v>76</v>
      </c>
      <c r="B13" s="40" t="s">
        <v>52</v>
      </c>
      <c r="C13" s="40" t="s">
        <v>53</v>
      </c>
      <c r="D13" s="40" t="s">
        <v>54</v>
      </c>
      <c r="E13" s="40" t="s">
        <v>55</v>
      </c>
      <c r="F13" s="40" t="s">
        <v>56</v>
      </c>
      <c r="G13" s="40" t="s">
        <v>57</v>
      </c>
      <c r="H13" s="40" t="s">
        <v>58</v>
      </c>
      <c r="I13" s="40" t="s">
        <v>59</v>
      </c>
      <c r="J13" s="91"/>
      <c r="K13" s="40" t="s">
        <v>60</v>
      </c>
      <c r="L13" s="40" t="s">
        <v>61</v>
      </c>
      <c r="M13" s="40" t="s">
        <v>62</v>
      </c>
      <c r="N13" s="40" t="s">
        <v>63</v>
      </c>
    </row>
    <row r="14" spans="1:17" ht="15.75" customHeight="1" x14ac:dyDescent="0.15">
      <c r="A14" s="13"/>
      <c r="B14" s="44"/>
      <c r="C14" s="44"/>
      <c r="D14" s="44"/>
      <c r="E14" s="44"/>
      <c r="F14" s="44"/>
      <c r="G14" s="44"/>
      <c r="H14" s="64"/>
      <c r="I14" s="64"/>
      <c r="J14" s="90"/>
      <c r="K14" s="64"/>
      <c r="L14" s="64"/>
      <c r="M14" s="64"/>
      <c r="N14" s="64"/>
    </row>
    <row r="15" spans="1:17" ht="15.75" customHeight="1" x14ac:dyDescent="0.15">
      <c r="A15" s="13"/>
      <c r="B15" s="44" t="s">
        <v>226</v>
      </c>
      <c r="C15" s="45">
        <v>4</v>
      </c>
      <c r="D15" s="45" t="s">
        <v>218</v>
      </c>
      <c r="E15" s="45" t="s">
        <v>219</v>
      </c>
      <c r="F15" s="45" t="s">
        <v>37</v>
      </c>
      <c r="G15" s="45">
        <v>10</v>
      </c>
      <c r="H15" s="47">
        <v>45</v>
      </c>
      <c r="I15" s="66">
        <v>47.5</v>
      </c>
      <c r="J15" s="90"/>
      <c r="K15" s="66">
        <v>50</v>
      </c>
      <c r="L15" s="74">
        <v>50</v>
      </c>
      <c r="M15" s="66">
        <v>50</v>
      </c>
      <c r="N15" s="66">
        <v>50</v>
      </c>
    </row>
    <row r="16" spans="1:17" ht="15.75" customHeight="1" x14ac:dyDescent="0.15">
      <c r="A16" s="13"/>
      <c r="B16" s="64" t="s">
        <v>227</v>
      </c>
      <c r="C16" s="83">
        <v>4</v>
      </c>
      <c r="D16" s="83" t="s">
        <v>218</v>
      </c>
      <c r="E16" s="83" t="s">
        <v>219</v>
      </c>
      <c r="F16" s="83" t="s">
        <v>37</v>
      </c>
      <c r="G16" s="83">
        <v>10</v>
      </c>
      <c r="H16" s="66">
        <v>60</v>
      </c>
      <c r="I16" s="66">
        <v>65</v>
      </c>
      <c r="J16" s="90"/>
      <c r="K16" s="66">
        <v>70</v>
      </c>
      <c r="L16" s="66">
        <v>75</v>
      </c>
      <c r="M16" s="66">
        <v>80</v>
      </c>
      <c r="N16" s="64">
        <v>80</v>
      </c>
    </row>
    <row r="17" spans="1:17" ht="15.75" customHeight="1" x14ac:dyDescent="0.15">
      <c r="A17" s="13"/>
      <c r="B17" s="64" t="s">
        <v>228</v>
      </c>
      <c r="C17" s="83">
        <v>4</v>
      </c>
      <c r="D17" s="83" t="s">
        <v>218</v>
      </c>
      <c r="E17" s="83" t="s">
        <v>219</v>
      </c>
      <c r="F17" s="83" t="s">
        <v>37</v>
      </c>
      <c r="G17" s="83">
        <v>10</v>
      </c>
      <c r="H17" s="66">
        <v>30</v>
      </c>
      <c r="I17" s="66">
        <v>32.5</v>
      </c>
      <c r="J17" s="90"/>
      <c r="K17" s="66">
        <v>35</v>
      </c>
      <c r="L17" s="66">
        <v>35</v>
      </c>
      <c r="M17" s="66">
        <v>36.5</v>
      </c>
      <c r="N17" s="64">
        <v>36.5</v>
      </c>
    </row>
    <row r="18" spans="1:17" ht="15.75" customHeight="1" x14ac:dyDescent="0.15">
      <c r="A18" s="13"/>
      <c r="B18" s="64" t="s">
        <v>229</v>
      </c>
      <c r="C18" s="83">
        <v>4</v>
      </c>
      <c r="D18" s="83" t="s">
        <v>221</v>
      </c>
      <c r="E18" s="83" t="s">
        <v>72</v>
      </c>
      <c r="F18" s="83" t="s">
        <v>37</v>
      </c>
      <c r="G18" s="83">
        <v>10</v>
      </c>
      <c r="H18" s="66">
        <v>9</v>
      </c>
      <c r="I18" s="66">
        <v>10</v>
      </c>
      <c r="J18" s="90"/>
      <c r="K18" s="66">
        <v>11</v>
      </c>
      <c r="L18" s="66">
        <v>12</v>
      </c>
      <c r="M18" s="74">
        <v>14</v>
      </c>
      <c r="N18" s="66">
        <v>14</v>
      </c>
    </row>
    <row r="19" spans="1:17" ht="15.75" customHeight="1" x14ac:dyDescent="0.15">
      <c r="A19" s="13"/>
      <c r="B19" s="64" t="s">
        <v>230</v>
      </c>
      <c r="C19" s="83">
        <v>4</v>
      </c>
      <c r="D19" s="83" t="s">
        <v>221</v>
      </c>
      <c r="E19" s="83" t="s">
        <v>72</v>
      </c>
      <c r="F19" s="83" t="s">
        <v>37</v>
      </c>
      <c r="G19" s="83">
        <v>10</v>
      </c>
      <c r="H19" s="66">
        <v>15</v>
      </c>
      <c r="I19" s="66">
        <v>11</v>
      </c>
      <c r="J19" s="90"/>
      <c r="K19" s="66">
        <v>12.5</v>
      </c>
      <c r="L19" s="66">
        <v>12</v>
      </c>
      <c r="M19" s="74">
        <v>14</v>
      </c>
      <c r="N19" s="66">
        <v>14</v>
      </c>
    </row>
    <row r="20" spans="1:17" ht="15.75" customHeight="1" x14ac:dyDescent="0.15">
      <c r="A20" s="25"/>
      <c r="B20" s="34"/>
      <c r="C20" s="35"/>
      <c r="D20" s="35"/>
      <c r="E20" s="35"/>
      <c r="F20" s="35"/>
      <c r="G20" s="35"/>
      <c r="H20" s="34"/>
      <c r="I20" s="34"/>
      <c r="J20" s="86"/>
      <c r="K20" s="34"/>
      <c r="L20" s="34"/>
      <c r="M20" s="34"/>
      <c r="N20" s="34"/>
      <c r="O20" s="32"/>
      <c r="P20" s="32"/>
    </row>
    <row r="21" spans="1:17" ht="15.75" customHeight="1" x14ac:dyDescent="0.15">
      <c r="A21" s="25"/>
      <c r="B21" s="34"/>
      <c r="C21" s="35"/>
      <c r="D21" s="35"/>
      <c r="E21" s="35"/>
      <c r="F21" s="35"/>
      <c r="G21" s="35"/>
      <c r="H21" s="34"/>
      <c r="I21" s="34"/>
      <c r="J21" s="86"/>
      <c r="K21" s="34"/>
      <c r="L21" s="34"/>
      <c r="M21" s="34"/>
      <c r="N21" s="34"/>
      <c r="O21" s="32"/>
      <c r="P21" s="32"/>
      <c r="Q21" s="32"/>
    </row>
    <row r="22" spans="1:17" ht="15.75" customHeight="1" x14ac:dyDescent="0.15">
      <c r="A22" s="40" t="s">
        <v>86</v>
      </c>
      <c r="B22" s="40" t="s">
        <v>52</v>
      </c>
      <c r="C22" s="40" t="s">
        <v>53</v>
      </c>
      <c r="D22" s="40" t="s">
        <v>54</v>
      </c>
      <c r="E22" s="40" t="s">
        <v>55</v>
      </c>
      <c r="F22" s="40" t="s">
        <v>56</v>
      </c>
      <c r="G22" s="40" t="s">
        <v>57</v>
      </c>
      <c r="H22" s="40" t="s">
        <v>58</v>
      </c>
      <c r="I22" s="40" t="s">
        <v>59</v>
      </c>
      <c r="J22" s="91"/>
      <c r="K22" s="40" t="s">
        <v>60</v>
      </c>
      <c r="L22" s="40" t="s">
        <v>61</v>
      </c>
      <c r="M22" s="40" t="s">
        <v>62</v>
      </c>
      <c r="N22" s="40" t="s">
        <v>63</v>
      </c>
      <c r="O22" s="32"/>
      <c r="P22" s="32"/>
      <c r="Q22" s="32"/>
    </row>
    <row r="23" spans="1:17" ht="15.75" customHeight="1" x14ac:dyDescent="0.15">
      <c r="A23" s="13"/>
      <c r="B23" s="44"/>
      <c r="C23" s="44"/>
      <c r="D23" s="44"/>
      <c r="E23" s="44"/>
      <c r="F23" s="44"/>
      <c r="G23" s="44"/>
      <c r="H23" s="44"/>
      <c r="I23" s="44"/>
      <c r="J23" s="89"/>
      <c r="K23" s="44"/>
      <c r="L23" s="44"/>
      <c r="M23" s="44"/>
      <c r="N23" s="44"/>
    </row>
    <row r="24" spans="1:17" ht="15.75" customHeight="1" x14ac:dyDescent="0.15">
      <c r="A24" s="13"/>
      <c r="B24" s="44" t="s">
        <v>231</v>
      </c>
      <c r="C24" s="45">
        <v>4</v>
      </c>
      <c r="D24" s="45" t="s">
        <v>218</v>
      </c>
      <c r="E24" s="45" t="s">
        <v>219</v>
      </c>
      <c r="F24" s="45" t="s">
        <v>37</v>
      </c>
      <c r="G24" s="45">
        <v>10</v>
      </c>
      <c r="H24" s="47">
        <v>30</v>
      </c>
      <c r="I24" s="47">
        <v>35</v>
      </c>
      <c r="J24" s="89"/>
      <c r="K24" s="44"/>
      <c r="L24" s="47">
        <v>40</v>
      </c>
      <c r="M24" s="92">
        <v>42.5</v>
      </c>
      <c r="N24" s="47">
        <v>45</v>
      </c>
    </row>
    <row r="25" spans="1:17" ht="15.75" customHeight="1" x14ac:dyDescent="0.15">
      <c r="A25" s="13"/>
      <c r="B25" s="44" t="s">
        <v>88</v>
      </c>
      <c r="C25" s="45">
        <v>4</v>
      </c>
      <c r="D25" s="45" t="s">
        <v>221</v>
      </c>
      <c r="E25" s="45" t="s">
        <v>66</v>
      </c>
      <c r="F25" s="45" t="s">
        <v>37</v>
      </c>
      <c r="G25" s="45">
        <v>10</v>
      </c>
      <c r="H25" s="47">
        <v>16</v>
      </c>
      <c r="I25" s="47">
        <v>18</v>
      </c>
      <c r="J25" s="89"/>
      <c r="K25" s="44"/>
      <c r="L25" s="47">
        <v>18</v>
      </c>
      <c r="M25" s="48">
        <v>20</v>
      </c>
      <c r="N25" s="44"/>
    </row>
    <row r="26" spans="1:17" ht="15.75" customHeight="1" x14ac:dyDescent="0.15">
      <c r="A26" s="13"/>
      <c r="B26" s="64" t="s">
        <v>232</v>
      </c>
      <c r="C26" s="83">
        <v>4</v>
      </c>
      <c r="D26" s="83" t="s">
        <v>218</v>
      </c>
      <c r="E26" s="83" t="s">
        <v>219</v>
      </c>
      <c r="F26" s="83" t="s">
        <v>37</v>
      </c>
      <c r="G26" s="83">
        <v>10</v>
      </c>
      <c r="H26" s="66">
        <v>42</v>
      </c>
      <c r="I26" s="74">
        <v>47.5</v>
      </c>
      <c r="J26" s="90"/>
      <c r="K26" s="64"/>
      <c r="L26" s="66">
        <v>45</v>
      </c>
      <c r="M26" s="93">
        <v>47.5</v>
      </c>
      <c r="N26" s="66">
        <v>45</v>
      </c>
    </row>
    <row r="27" spans="1:17" ht="15.75" customHeight="1" x14ac:dyDescent="0.15">
      <c r="A27" s="13"/>
      <c r="B27" s="64" t="s">
        <v>233</v>
      </c>
      <c r="C27" s="83">
        <v>4</v>
      </c>
      <c r="D27" s="83" t="s">
        <v>81</v>
      </c>
      <c r="E27" s="83" t="s">
        <v>66</v>
      </c>
      <c r="F27" s="83" t="s">
        <v>37</v>
      </c>
      <c r="G27" s="83">
        <v>10</v>
      </c>
      <c r="H27" s="66">
        <v>58</v>
      </c>
      <c r="I27" s="66">
        <v>30</v>
      </c>
      <c r="J27" s="90"/>
      <c r="K27" s="64"/>
      <c r="L27" s="66">
        <v>35</v>
      </c>
      <c r="M27" s="66">
        <v>35</v>
      </c>
      <c r="N27" s="64"/>
    </row>
    <row r="28" spans="1:17" ht="15.75" customHeight="1" x14ac:dyDescent="0.15">
      <c r="A28" s="13"/>
      <c r="B28" s="64" t="s">
        <v>234</v>
      </c>
      <c r="C28" s="83">
        <v>4</v>
      </c>
      <c r="D28" s="83" t="s">
        <v>97</v>
      </c>
      <c r="E28" s="83" t="s">
        <v>72</v>
      </c>
      <c r="F28" s="83" t="s">
        <v>37</v>
      </c>
      <c r="G28" s="83">
        <v>10</v>
      </c>
      <c r="H28" s="64" t="s">
        <v>235</v>
      </c>
      <c r="I28" s="64"/>
      <c r="J28" s="90"/>
      <c r="K28" s="64"/>
      <c r="L28" s="64"/>
      <c r="M28" s="64"/>
      <c r="N28" s="64"/>
    </row>
    <row r="29" spans="1:17" ht="15.75" customHeight="1" x14ac:dyDescent="0.15">
      <c r="A29" s="25"/>
      <c r="B29" s="34"/>
      <c r="C29" s="35"/>
      <c r="D29" s="35"/>
      <c r="E29" s="35"/>
      <c r="F29" s="35"/>
      <c r="G29" s="35"/>
      <c r="H29" s="34"/>
      <c r="I29" s="34"/>
      <c r="J29" s="86"/>
      <c r="K29" s="34"/>
      <c r="L29" s="34"/>
      <c r="M29" s="34"/>
      <c r="N29" s="34"/>
      <c r="O29" s="32"/>
      <c r="P29" s="32"/>
    </row>
    <row r="30" spans="1:17" ht="15.75" customHeight="1" x14ac:dyDescent="0.15">
      <c r="B30" s="32"/>
      <c r="C30" s="32"/>
      <c r="D30" s="32"/>
      <c r="E30" s="32"/>
      <c r="F30" s="32"/>
      <c r="G30" s="32"/>
      <c r="H30" s="32"/>
      <c r="I30" s="32"/>
      <c r="J30" s="85"/>
      <c r="K30" s="32"/>
      <c r="L30" s="32"/>
      <c r="M30" s="32"/>
      <c r="N30" s="32"/>
      <c r="O30" s="32"/>
      <c r="P30" s="32"/>
    </row>
    <row r="31" spans="1:17" ht="15.75" customHeight="1" x14ac:dyDescent="0.15">
      <c r="A31" s="40" t="s">
        <v>96</v>
      </c>
      <c r="B31" s="40" t="s">
        <v>52</v>
      </c>
      <c r="C31" s="40" t="s">
        <v>53</v>
      </c>
      <c r="D31" s="40" t="s">
        <v>54</v>
      </c>
      <c r="E31" s="40" t="s">
        <v>55</v>
      </c>
      <c r="F31" s="40" t="s">
        <v>56</v>
      </c>
      <c r="G31" s="40" t="s">
        <v>57</v>
      </c>
      <c r="H31" s="40" t="s">
        <v>58</v>
      </c>
      <c r="I31" s="40" t="s">
        <v>59</v>
      </c>
      <c r="J31" s="91"/>
      <c r="K31" s="40" t="s">
        <v>60</v>
      </c>
      <c r="L31" s="40" t="s">
        <v>61</v>
      </c>
      <c r="M31" s="40" t="s">
        <v>62</v>
      </c>
      <c r="N31" s="40" t="s">
        <v>63</v>
      </c>
      <c r="O31" s="32"/>
      <c r="P31" s="32"/>
    </row>
    <row r="32" spans="1:17" ht="15.75" customHeight="1" x14ac:dyDescent="0.15">
      <c r="A32" s="13"/>
      <c r="B32" s="44"/>
      <c r="C32" s="44"/>
      <c r="D32" s="44"/>
      <c r="E32" s="44"/>
      <c r="F32" s="44"/>
      <c r="G32" s="44"/>
      <c r="H32" s="64"/>
      <c r="I32" s="64"/>
      <c r="J32" s="89"/>
      <c r="K32" s="44"/>
      <c r="L32" s="44"/>
      <c r="M32" s="44"/>
      <c r="N32" s="44"/>
    </row>
    <row r="33" spans="1:15" ht="15.75" customHeight="1" x14ac:dyDescent="0.15">
      <c r="A33" s="13"/>
      <c r="B33" s="44" t="s">
        <v>217</v>
      </c>
      <c r="C33" s="45">
        <v>4</v>
      </c>
      <c r="D33" s="45" t="s">
        <v>221</v>
      </c>
      <c r="E33" s="45" t="s">
        <v>219</v>
      </c>
      <c r="F33" s="45" t="s">
        <v>37</v>
      </c>
      <c r="G33" s="45">
        <v>10</v>
      </c>
      <c r="H33" s="66">
        <v>30</v>
      </c>
      <c r="I33" s="66">
        <v>34</v>
      </c>
      <c r="J33" s="89"/>
      <c r="K33" s="48">
        <v>40</v>
      </c>
      <c r="L33" s="47">
        <v>37</v>
      </c>
      <c r="M33" s="48">
        <v>39</v>
      </c>
      <c r="N33" s="47">
        <v>40</v>
      </c>
    </row>
    <row r="34" spans="1:15" ht="15.75" customHeight="1" x14ac:dyDescent="0.15">
      <c r="A34" s="13"/>
      <c r="B34" s="64" t="s">
        <v>220</v>
      </c>
      <c r="C34" s="83">
        <v>4</v>
      </c>
      <c r="D34" s="83" t="s">
        <v>81</v>
      </c>
      <c r="E34" s="83" t="s">
        <v>66</v>
      </c>
      <c r="F34" s="83" t="s">
        <v>37</v>
      </c>
      <c r="G34" s="83">
        <v>10</v>
      </c>
      <c r="H34" s="66">
        <v>25</v>
      </c>
      <c r="I34" s="66">
        <v>26.5</v>
      </c>
      <c r="J34" s="90"/>
      <c r="K34" s="66">
        <v>25</v>
      </c>
      <c r="L34" s="74">
        <v>27</v>
      </c>
      <c r="M34" s="74">
        <v>29</v>
      </c>
      <c r="N34" s="66">
        <v>30</v>
      </c>
    </row>
    <row r="35" spans="1:15" ht="15.75" customHeight="1" x14ac:dyDescent="0.15">
      <c r="A35" s="13"/>
      <c r="B35" s="64" t="s">
        <v>223</v>
      </c>
      <c r="C35" s="83">
        <v>4</v>
      </c>
      <c r="D35" s="83" t="s">
        <v>221</v>
      </c>
      <c r="E35" s="83" t="s">
        <v>219</v>
      </c>
      <c r="F35" s="83" t="s">
        <v>37</v>
      </c>
      <c r="G35" s="83">
        <v>10</v>
      </c>
      <c r="H35" s="66">
        <v>45</v>
      </c>
      <c r="I35" s="74">
        <v>50</v>
      </c>
      <c r="J35" s="90"/>
      <c r="K35" s="66">
        <v>56</v>
      </c>
      <c r="L35" s="66">
        <v>50</v>
      </c>
      <c r="M35" s="66">
        <v>52.5</v>
      </c>
      <c r="N35" s="66">
        <v>50</v>
      </c>
    </row>
    <row r="36" spans="1:15" ht="15.75" customHeight="1" x14ac:dyDescent="0.15">
      <c r="A36" s="13"/>
      <c r="B36" s="64" t="s">
        <v>224</v>
      </c>
      <c r="C36" s="83">
        <v>4</v>
      </c>
      <c r="D36" s="83" t="s">
        <v>81</v>
      </c>
      <c r="E36" s="83" t="s">
        <v>66</v>
      </c>
      <c r="F36" s="83" t="s">
        <v>37</v>
      </c>
      <c r="G36" s="83">
        <v>10</v>
      </c>
      <c r="H36" s="66">
        <v>55</v>
      </c>
      <c r="I36" s="66">
        <v>60</v>
      </c>
      <c r="J36" s="90"/>
      <c r="K36" s="66">
        <v>63</v>
      </c>
      <c r="L36" s="66">
        <v>65</v>
      </c>
      <c r="M36" s="74">
        <v>70</v>
      </c>
      <c r="N36" s="64"/>
    </row>
    <row r="37" spans="1:15" ht="15.75" customHeight="1" x14ac:dyDescent="0.15">
      <c r="A37" s="13"/>
      <c r="B37" s="64" t="s">
        <v>225</v>
      </c>
      <c r="C37" s="83">
        <v>4</v>
      </c>
      <c r="D37" s="83" t="s">
        <v>65</v>
      </c>
      <c r="E37" s="83" t="s">
        <v>72</v>
      </c>
      <c r="F37" s="83" t="s">
        <v>37</v>
      </c>
      <c r="G37" s="83">
        <v>10</v>
      </c>
      <c r="H37" s="66">
        <v>30</v>
      </c>
      <c r="I37" s="66">
        <v>35</v>
      </c>
      <c r="J37" s="90"/>
      <c r="K37" s="66">
        <v>35</v>
      </c>
      <c r="L37" s="74">
        <v>10</v>
      </c>
      <c r="M37" s="66">
        <v>10</v>
      </c>
      <c r="N37" s="64"/>
    </row>
    <row r="38" spans="1:15" ht="15.75" customHeight="1" x14ac:dyDescent="0.15">
      <c r="A38" s="25"/>
      <c r="B38" s="34"/>
      <c r="C38" s="35"/>
      <c r="D38" s="35"/>
      <c r="E38" s="35"/>
      <c r="F38" s="35"/>
      <c r="G38" s="35"/>
      <c r="H38" s="34"/>
      <c r="I38" s="34"/>
      <c r="J38" s="86"/>
      <c r="K38" s="34"/>
      <c r="L38" s="34"/>
      <c r="M38" s="34"/>
      <c r="N38" s="34"/>
    </row>
    <row r="39" spans="1:15" ht="15.75" customHeight="1" x14ac:dyDescent="0.15">
      <c r="A39" s="25"/>
      <c r="B39" s="34"/>
      <c r="C39" s="34"/>
      <c r="D39" s="34"/>
      <c r="E39" s="34"/>
      <c r="F39" s="34"/>
      <c r="G39" s="34"/>
      <c r="H39" s="34"/>
      <c r="I39" s="34"/>
      <c r="J39" s="86"/>
      <c r="K39" s="34"/>
      <c r="L39" s="34"/>
      <c r="M39" s="34"/>
      <c r="N39" s="34"/>
    </row>
    <row r="40" spans="1:15" ht="15.75" customHeight="1" x14ac:dyDescent="0.15">
      <c r="A40" s="40" t="s">
        <v>113</v>
      </c>
      <c r="B40" s="40" t="s">
        <v>52</v>
      </c>
      <c r="C40" s="40" t="s">
        <v>53</v>
      </c>
      <c r="D40" s="40" t="s">
        <v>54</v>
      </c>
      <c r="E40" s="40" t="s">
        <v>55</v>
      </c>
      <c r="F40" s="40" t="s">
        <v>56</v>
      </c>
      <c r="G40" s="40" t="s">
        <v>57</v>
      </c>
      <c r="H40" s="40" t="s">
        <v>58</v>
      </c>
      <c r="I40" s="40" t="s">
        <v>59</v>
      </c>
      <c r="J40" s="91"/>
      <c r="K40" s="40" t="s">
        <v>60</v>
      </c>
      <c r="L40" s="40" t="s">
        <v>61</v>
      </c>
      <c r="M40" s="40" t="s">
        <v>62</v>
      </c>
      <c r="N40" s="40" t="s">
        <v>63</v>
      </c>
    </row>
    <row r="41" spans="1:15" ht="15.75" customHeight="1" x14ac:dyDescent="0.15">
      <c r="A41" s="13"/>
      <c r="B41" s="44"/>
      <c r="C41" s="44"/>
      <c r="D41" s="44"/>
      <c r="E41" s="44"/>
      <c r="F41" s="44"/>
      <c r="G41" s="44"/>
      <c r="H41" s="64"/>
      <c r="I41" s="64"/>
      <c r="J41" s="90"/>
      <c r="K41" s="64"/>
      <c r="L41" s="64"/>
      <c r="M41" s="64"/>
      <c r="N41" s="64"/>
    </row>
    <row r="42" spans="1:15" ht="15.75" customHeight="1" x14ac:dyDescent="0.15">
      <c r="A42" s="13"/>
      <c r="B42" s="44" t="s">
        <v>226</v>
      </c>
      <c r="C42" s="45">
        <v>4</v>
      </c>
      <c r="D42" s="45" t="s">
        <v>221</v>
      </c>
      <c r="E42" s="45" t="s">
        <v>219</v>
      </c>
      <c r="F42" s="45" t="s">
        <v>37</v>
      </c>
      <c r="G42" s="45">
        <v>10</v>
      </c>
      <c r="H42" s="47">
        <v>40</v>
      </c>
      <c r="I42" s="66">
        <v>45</v>
      </c>
      <c r="J42" s="90"/>
      <c r="K42" s="66">
        <v>50</v>
      </c>
      <c r="L42" s="66">
        <v>47.5</v>
      </c>
      <c r="M42" s="66">
        <v>49</v>
      </c>
      <c r="N42" s="64"/>
    </row>
    <row r="43" spans="1:15" ht="15.75" customHeight="1" x14ac:dyDescent="0.15">
      <c r="A43" s="13"/>
      <c r="B43" s="64" t="s">
        <v>227</v>
      </c>
      <c r="C43" s="83">
        <v>4</v>
      </c>
      <c r="D43" s="83" t="s">
        <v>221</v>
      </c>
      <c r="E43" s="83" t="s">
        <v>219</v>
      </c>
      <c r="F43" s="83" t="s">
        <v>37</v>
      </c>
      <c r="G43" s="83">
        <v>10</v>
      </c>
      <c r="H43" s="66">
        <v>55</v>
      </c>
      <c r="I43" s="66">
        <v>65</v>
      </c>
      <c r="J43" s="90"/>
      <c r="K43" s="66">
        <v>68</v>
      </c>
      <c r="L43" s="66">
        <v>70</v>
      </c>
      <c r="M43" s="66">
        <v>70</v>
      </c>
      <c r="N43" s="64"/>
    </row>
    <row r="44" spans="1:15" ht="15.75" customHeight="1" x14ac:dyDescent="0.15">
      <c r="A44" s="13"/>
      <c r="B44" s="64" t="s">
        <v>228</v>
      </c>
      <c r="C44" s="83">
        <v>4</v>
      </c>
      <c r="D44" s="83" t="s">
        <v>221</v>
      </c>
      <c r="E44" s="83" t="s">
        <v>219</v>
      </c>
      <c r="F44" s="83" t="s">
        <v>37</v>
      </c>
      <c r="G44" s="83">
        <v>10</v>
      </c>
      <c r="H44" s="66">
        <v>25</v>
      </c>
      <c r="I44" s="66">
        <v>27.5</v>
      </c>
      <c r="J44" s="90"/>
      <c r="K44" s="66">
        <v>68</v>
      </c>
      <c r="L44" s="66">
        <v>30</v>
      </c>
      <c r="M44" s="66">
        <v>30</v>
      </c>
      <c r="N44" s="64"/>
      <c r="O44" s="32"/>
    </row>
    <row r="45" spans="1:15" ht="15.75" customHeight="1" x14ac:dyDescent="0.15">
      <c r="A45" s="13"/>
      <c r="B45" s="64" t="s">
        <v>229</v>
      </c>
      <c r="C45" s="83">
        <v>4</v>
      </c>
      <c r="D45" s="83" t="s">
        <v>81</v>
      </c>
      <c r="E45" s="83" t="s">
        <v>72</v>
      </c>
      <c r="F45" s="83" t="s">
        <v>37</v>
      </c>
      <c r="G45" s="83">
        <v>10</v>
      </c>
      <c r="H45" s="66">
        <v>7.5</v>
      </c>
      <c r="I45" s="66">
        <v>10</v>
      </c>
      <c r="J45" s="90"/>
      <c r="K45" s="66">
        <v>10.28</v>
      </c>
      <c r="L45" s="66">
        <v>12</v>
      </c>
      <c r="M45" s="66">
        <v>14</v>
      </c>
      <c r="N45" s="64"/>
      <c r="O45" s="32"/>
    </row>
    <row r="46" spans="1:15" ht="13" x14ac:dyDescent="0.15">
      <c r="A46" s="13"/>
      <c r="B46" s="64" t="s">
        <v>230</v>
      </c>
      <c r="C46" s="83">
        <v>4</v>
      </c>
      <c r="D46" s="83" t="s">
        <v>81</v>
      </c>
      <c r="E46" s="83" t="s">
        <v>72</v>
      </c>
      <c r="F46" s="83" t="s">
        <v>37</v>
      </c>
      <c r="G46" s="83">
        <v>10</v>
      </c>
      <c r="H46" s="66">
        <v>10</v>
      </c>
      <c r="I46" s="66">
        <v>11</v>
      </c>
      <c r="J46" s="90"/>
      <c r="K46" s="66">
        <v>12</v>
      </c>
      <c r="L46" s="74">
        <v>14</v>
      </c>
      <c r="M46" s="66">
        <v>14</v>
      </c>
      <c r="N46" s="64"/>
      <c r="O46" s="32"/>
    </row>
    <row r="47" spans="1:15" ht="13" x14ac:dyDescent="0.15">
      <c r="A47" s="25"/>
      <c r="B47" s="34"/>
      <c r="C47" s="35"/>
      <c r="D47" s="35"/>
      <c r="E47" s="35"/>
      <c r="F47" s="35"/>
      <c r="G47" s="35"/>
      <c r="H47" s="34"/>
      <c r="I47" s="34"/>
      <c r="J47" s="86"/>
      <c r="K47" s="34"/>
      <c r="L47" s="34"/>
      <c r="M47" s="34"/>
      <c r="N47" s="34"/>
      <c r="O47" s="32"/>
    </row>
    <row r="48" spans="1:15" ht="13" x14ac:dyDescent="0.15">
      <c r="A48" s="25"/>
      <c r="B48" s="34"/>
      <c r="C48" s="35"/>
      <c r="D48" s="35"/>
      <c r="E48" s="35"/>
      <c r="F48" s="35"/>
      <c r="G48" s="35"/>
      <c r="H48" s="34"/>
      <c r="I48" s="34"/>
      <c r="J48" s="86"/>
      <c r="K48" s="34"/>
      <c r="L48" s="34"/>
      <c r="M48" s="34"/>
      <c r="N48" s="34"/>
      <c r="O48" s="32"/>
    </row>
    <row r="49" spans="1:15" ht="13" x14ac:dyDescent="0.15">
      <c r="A49" s="40" t="s">
        <v>124</v>
      </c>
      <c r="B49" s="40" t="s">
        <v>52</v>
      </c>
      <c r="C49" s="40" t="s">
        <v>53</v>
      </c>
      <c r="D49" s="40" t="s">
        <v>54</v>
      </c>
      <c r="E49" s="40" t="s">
        <v>55</v>
      </c>
      <c r="F49" s="40" t="s">
        <v>56</v>
      </c>
      <c r="G49" s="40" t="s">
        <v>57</v>
      </c>
      <c r="H49" s="40" t="s">
        <v>58</v>
      </c>
      <c r="I49" s="40" t="s">
        <v>59</v>
      </c>
      <c r="J49" s="91"/>
      <c r="K49" s="40" t="s">
        <v>60</v>
      </c>
      <c r="L49" s="40" t="s">
        <v>61</v>
      </c>
      <c r="M49" s="40" t="s">
        <v>62</v>
      </c>
      <c r="N49" s="40" t="s">
        <v>63</v>
      </c>
      <c r="O49" s="32"/>
    </row>
    <row r="50" spans="1:15" ht="13" x14ac:dyDescent="0.15">
      <c r="A50" s="13"/>
      <c r="B50" s="44"/>
      <c r="C50" s="44"/>
      <c r="D50" s="44"/>
      <c r="E50" s="44"/>
      <c r="F50" s="44"/>
      <c r="G50" s="44"/>
      <c r="H50" s="44"/>
      <c r="I50" s="44"/>
      <c r="J50" s="89"/>
      <c r="K50" s="44"/>
      <c r="L50" s="44"/>
      <c r="M50" s="44"/>
      <c r="N50" s="44"/>
      <c r="O50" s="32"/>
    </row>
    <row r="51" spans="1:15" ht="13" x14ac:dyDescent="0.15">
      <c r="A51" s="13"/>
      <c r="B51" s="44" t="s">
        <v>231</v>
      </c>
      <c r="C51" s="45">
        <v>4</v>
      </c>
      <c r="D51" s="45" t="s">
        <v>221</v>
      </c>
      <c r="E51" s="45" t="s">
        <v>219</v>
      </c>
      <c r="F51" s="45" t="s">
        <v>37</v>
      </c>
      <c r="G51" s="45">
        <v>10</v>
      </c>
      <c r="H51" s="47">
        <v>25</v>
      </c>
      <c r="I51" s="47">
        <v>30</v>
      </c>
      <c r="J51" s="89"/>
      <c r="K51" s="47">
        <v>25</v>
      </c>
      <c r="L51" s="47">
        <v>35</v>
      </c>
      <c r="M51" s="47">
        <v>40</v>
      </c>
      <c r="N51" s="44"/>
      <c r="O51" s="32"/>
    </row>
    <row r="52" spans="1:15" ht="13" x14ac:dyDescent="0.15">
      <c r="A52" s="13"/>
      <c r="B52" s="44" t="s">
        <v>88</v>
      </c>
      <c r="C52" s="45">
        <v>4</v>
      </c>
      <c r="D52" s="45" t="s">
        <v>81</v>
      </c>
      <c r="E52" s="45" t="s">
        <v>66</v>
      </c>
      <c r="F52" s="45" t="s">
        <v>37</v>
      </c>
      <c r="G52" s="45">
        <v>10</v>
      </c>
      <c r="H52" s="66">
        <v>14</v>
      </c>
      <c r="I52" s="47">
        <v>16</v>
      </c>
      <c r="J52" s="89"/>
      <c r="K52" s="47">
        <v>16</v>
      </c>
      <c r="L52" s="48">
        <v>18</v>
      </c>
      <c r="M52" s="44"/>
      <c r="N52" s="44"/>
      <c r="O52" s="32"/>
    </row>
    <row r="53" spans="1:15" ht="13" x14ac:dyDescent="0.15">
      <c r="A53" s="13"/>
      <c r="B53" s="64" t="s">
        <v>232</v>
      </c>
      <c r="C53" s="83">
        <v>4</v>
      </c>
      <c r="D53" s="83" t="s">
        <v>221</v>
      </c>
      <c r="E53" s="83" t="s">
        <v>219</v>
      </c>
      <c r="F53" s="83" t="s">
        <v>37</v>
      </c>
      <c r="G53" s="83">
        <v>10</v>
      </c>
      <c r="H53" s="66">
        <v>40</v>
      </c>
      <c r="I53" s="66">
        <v>42.5</v>
      </c>
      <c r="J53" s="90"/>
      <c r="K53" s="66">
        <v>50</v>
      </c>
      <c r="L53" s="66">
        <v>42.5</v>
      </c>
      <c r="M53" s="66"/>
      <c r="N53" s="64"/>
      <c r="O53" s="32"/>
    </row>
    <row r="54" spans="1:15" ht="13" x14ac:dyDescent="0.15">
      <c r="A54" s="13"/>
      <c r="B54" s="64" t="s">
        <v>233</v>
      </c>
      <c r="C54" s="83">
        <v>4</v>
      </c>
      <c r="D54" s="83" t="s">
        <v>65</v>
      </c>
      <c r="E54" s="83" t="s">
        <v>66</v>
      </c>
      <c r="F54" s="83" t="s">
        <v>37</v>
      </c>
      <c r="G54" s="83">
        <v>10</v>
      </c>
      <c r="H54" s="100">
        <v>20</v>
      </c>
      <c r="I54" s="66">
        <v>25</v>
      </c>
      <c r="J54" s="90"/>
      <c r="K54" s="66">
        <v>30</v>
      </c>
      <c r="L54" s="66">
        <v>30</v>
      </c>
      <c r="M54" s="66">
        <v>35</v>
      </c>
      <c r="N54" s="64"/>
      <c r="O54" s="32"/>
    </row>
    <row r="55" spans="1:15" ht="13" x14ac:dyDescent="0.15">
      <c r="A55" s="13"/>
      <c r="B55" s="64" t="s">
        <v>234</v>
      </c>
      <c r="C55" s="83">
        <v>4</v>
      </c>
      <c r="D55" s="83" t="s">
        <v>97</v>
      </c>
      <c r="E55" s="83" t="s">
        <v>72</v>
      </c>
      <c r="F55" s="83" t="s">
        <v>37</v>
      </c>
      <c r="G55" s="83">
        <v>10</v>
      </c>
      <c r="H55" s="64"/>
      <c r="I55" s="64"/>
      <c r="J55" s="90"/>
      <c r="K55" s="64"/>
      <c r="L55" s="64"/>
      <c r="M55" s="64"/>
      <c r="N55" s="64"/>
      <c r="O55" s="32"/>
    </row>
    <row r="56" spans="1:15" ht="13" x14ac:dyDescent="0.15">
      <c r="J56" s="85"/>
    </row>
    <row r="57" spans="1:15" ht="13" x14ac:dyDescent="0.15">
      <c r="J57" s="85"/>
    </row>
    <row r="58" spans="1:15" ht="13" x14ac:dyDescent="0.15">
      <c r="J58" s="85"/>
    </row>
    <row r="59" spans="1:15" ht="13" x14ac:dyDescent="0.15">
      <c r="J59" s="85"/>
    </row>
    <row r="60" spans="1:15" ht="13" x14ac:dyDescent="0.15">
      <c r="J60" s="85"/>
    </row>
    <row r="61" spans="1:15" ht="13" x14ac:dyDescent="0.15">
      <c r="J61" s="85"/>
    </row>
    <row r="62" spans="1:15" ht="13" x14ac:dyDescent="0.15">
      <c r="J62" s="85"/>
    </row>
    <row r="63" spans="1:15" ht="13" x14ac:dyDescent="0.15">
      <c r="J63" s="85"/>
    </row>
    <row r="64" spans="1:15" ht="13" x14ac:dyDescent="0.15">
      <c r="J64" s="85"/>
    </row>
    <row r="65" spans="10:10" ht="13" x14ac:dyDescent="0.15">
      <c r="J65" s="85"/>
    </row>
    <row r="66" spans="10:10" ht="13" x14ac:dyDescent="0.15">
      <c r="J66" s="85"/>
    </row>
    <row r="67" spans="10:10" ht="13" x14ac:dyDescent="0.15">
      <c r="J67" s="85"/>
    </row>
    <row r="68" spans="10:10" ht="13" x14ac:dyDescent="0.15">
      <c r="J68" s="85"/>
    </row>
    <row r="69" spans="10:10" ht="13" x14ac:dyDescent="0.15">
      <c r="J69" s="85"/>
    </row>
    <row r="70" spans="10:10" ht="13" x14ac:dyDescent="0.15">
      <c r="J70" s="85"/>
    </row>
    <row r="71" spans="10:10" ht="13" x14ac:dyDescent="0.15">
      <c r="J71" s="85"/>
    </row>
    <row r="72" spans="10:10" ht="13" x14ac:dyDescent="0.15">
      <c r="J72" s="85"/>
    </row>
    <row r="73" spans="10:10" ht="13" x14ac:dyDescent="0.15">
      <c r="J73" s="85"/>
    </row>
    <row r="74" spans="10:10" ht="13" x14ac:dyDescent="0.15">
      <c r="J74" s="85"/>
    </row>
    <row r="75" spans="10:10" ht="13" x14ac:dyDescent="0.15">
      <c r="J75" s="85"/>
    </row>
    <row r="76" spans="10:10" ht="13" x14ac:dyDescent="0.15">
      <c r="J76" s="85"/>
    </row>
    <row r="77" spans="10:10" ht="13" x14ac:dyDescent="0.15">
      <c r="J77" s="85"/>
    </row>
    <row r="78" spans="10:10" ht="13" x14ac:dyDescent="0.15">
      <c r="J78" s="85"/>
    </row>
    <row r="79" spans="10:10" ht="13" x14ac:dyDescent="0.15">
      <c r="J79" s="85"/>
    </row>
    <row r="80" spans="10:10" ht="13" x14ac:dyDescent="0.15">
      <c r="J80" s="85"/>
    </row>
    <row r="81" spans="10:10" ht="13" x14ac:dyDescent="0.15">
      <c r="J81" s="85"/>
    </row>
    <row r="82" spans="10:10" ht="13" x14ac:dyDescent="0.15">
      <c r="J82" s="85"/>
    </row>
    <row r="83" spans="10:10" ht="13" x14ac:dyDescent="0.15">
      <c r="J83" s="85"/>
    </row>
    <row r="84" spans="10:10" ht="13" x14ac:dyDescent="0.15">
      <c r="J84" s="85"/>
    </row>
    <row r="85" spans="10:10" ht="13" x14ac:dyDescent="0.15">
      <c r="J85" s="85"/>
    </row>
    <row r="86" spans="10:10" ht="13" x14ac:dyDescent="0.15">
      <c r="J86" s="85"/>
    </row>
    <row r="87" spans="10:10" ht="13" x14ac:dyDescent="0.15">
      <c r="J87" s="85"/>
    </row>
    <row r="88" spans="10:10" ht="13" x14ac:dyDescent="0.15">
      <c r="J88" s="85"/>
    </row>
    <row r="89" spans="10:10" ht="13" x14ac:dyDescent="0.15">
      <c r="J89" s="85"/>
    </row>
    <row r="90" spans="10:10" ht="13" x14ac:dyDescent="0.15">
      <c r="J90" s="85"/>
    </row>
    <row r="91" spans="10:10" ht="13" x14ac:dyDescent="0.15">
      <c r="J91" s="85"/>
    </row>
    <row r="92" spans="10:10" ht="13" x14ac:dyDescent="0.15">
      <c r="J92" s="85"/>
    </row>
    <row r="93" spans="10:10" ht="13" x14ac:dyDescent="0.15">
      <c r="J93" s="85"/>
    </row>
    <row r="94" spans="10:10" ht="13" x14ac:dyDescent="0.15">
      <c r="J94" s="85"/>
    </row>
    <row r="95" spans="10:10" ht="13" x14ac:dyDescent="0.15">
      <c r="J95" s="85"/>
    </row>
    <row r="96" spans="10:10" ht="13" x14ac:dyDescent="0.15">
      <c r="J96" s="85"/>
    </row>
    <row r="97" spans="10:10" ht="13" x14ac:dyDescent="0.15">
      <c r="J97" s="85"/>
    </row>
    <row r="98" spans="10:10" ht="13" x14ac:dyDescent="0.15">
      <c r="J98" s="85"/>
    </row>
    <row r="99" spans="10:10" ht="13" x14ac:dyDescent="0.15">
      <c r="J99" s="85"/>
    </row>
    <row r="100" spans="10:10" ht="13" x14ac:dyDescent="0.15">
      <c r="J100" s="85"/>
    </row>
    <row r="101" spans="10:10" ht="13" x14ac:dyDescent="0.15">
      <c r="J101" s="85"/>
    </row>
    <row r="102" spans="10:10" ht="13" x14ac:dyDescent="0.15">
      <c r="J102" s="85"/>
    </row>
    <row r="103" spans="10:10" ht="13" x14ac:dyDescent="0.15">
      <c r="J103" s="85"/>
    </row>
    <row r="104" spans="10:10" ht="13" x14ac:dyDescent="0.15">
      <c r="J104" s="85"/>
    </row>
    <row r="105" spans="10:10" ht="13" x14ac:dyDescent="0.15">
      <c r="J105" s="85"/>
    </row>
    <row r="106" spans="10:10" ht="13" x14ac:dyDescent="0.15">
      <c r="J106" s="85"/>
    </row>
    <row r="107" spans="10:10" ht="13" x14ac:dyDescent="0.15">
      <c r="J107" s="85"/>
    </row>
    <row r="108" spans="10:10" ht="13" x14ac:dyDescent="0.15">
      <c r="J108" s="85"/>
    </row>
    <row r="109" spans="10:10" ht="13" x14ac:dyDescent="0.15">
      <c r="J109" s="85"/>
    </row>
    <row r="110" spans="10:10" ht="13" x14ac:dyDescent="0.15">
      <c r="J110" s="85"/>
    </row>
    <row r="111" spans="10:10" ht="13" x14ac:dyDescent="0.15">
      <c r="J111" s="85"/>
    </row>
    <row r="112" spans="10:10" ht="13" x14ac:dyDescent="0.15">
      <c r="J112" s="85"/>
    </row>
    <row r="113" spans="10:10" ht="13" x14ac:dyDescent="0.15">
      <c r="J113" s="85"/>
    </row>
    <row r="114" spans="10:10" ht="13" x14ac:dyDescent="0.15">
      <c r="J114" s="85"/>
    </row>
    <row r="115" spans="10:10" ht="13" x14ac:dyDescent="0.15">
      <c r="J115" s="85"/>
    </row>
    <row r="116" spans="10:10" ht="13" x14ac:dyDescent="0.15">
      <c r="J116" s="85"/>
    </row>
    <row r="117" spans="10:10" ht="13" x14ac:dyDescent="0.15">
      <c r="J117" s="85"/>
    </row>
    <row r="118" spans="10:10" ht="13" x14ac:dyDescent="0.15">
      <c r="J118" s="85"/>
    </row>
    <row r="119" spans="10:10" ht="13" x14ac:dyDescent="0.15">
      <c r="J119" s="85"/>
    </row>
    <row r="120" spans="10:10" ht="13" x14ac:dyDescent="0.15">
      <c r="J120" s="85"/>
    </row>
    <row r="121" spans="10:10" ht="13" x14ac:dyDescent="0.15">
      <c r="J121" s="85"/>
    </row>
    <row r="122" spans="10:10" ht="13" x14ac:dyDescent="0.15">
      <c r="J122" s="85"/>
    </row>
    <row r="123" spans="10:10" ht="13" x14ac:dyDescent="0.15">
      <c r="J123" s="85"/>
    </row>
    <row r="124" spans="10:10" ht="13" x14ac:dyDescent="0.15">
      <c r="J124" s="85"/>
    </row>
    <row r="125" spans="10:10" ht="13" x14ac:dyDescent="0.15">
      <c r="J125" s="85"/>
    </row>
    <row r="126" spans="10:10" ht="13" x14ac:dyDescent="0.15">
      <c r="J126" s="85"/>
    </row>
    <row r="127" spans="10:10" ht="13" x14ac:dyDescent="0.15">
      <c r="J127" s="85"/>
    </row>
    <row r="128" spans="10:10" ht="13" x14ac:dyDescent="0.15">
      <c r="J128" s="85"/>
    </row>
    <row r="129" spans="10:10" ht="13" x14ac:dyDescent="0.15">
      <c r="J129" s="85"/>
    </row>
    <row r="130" spans="10:10" ht="13" x14ac:dyDescent="0.15">
      <c r="J130" s="85"/>
    </row>
    <row r="131" spans="10:10" ht="13" x14ac:dyDescent="0.15">
      <c r="J131" s="85"/>
    </row>
    <row r="132" spans="10:10" ht="13" x14ac:dyDescent="0.15">
      <c r="J132" s="85"/>
    </row>
    <row r="133" spans="10:10" ht="13" x14ac:dyDescent="0.15">
      <c r="J133" s="85"/>
    </row>
    <row r="134" spans="10:10" ht="13" x14ac:dyDescent="0.15">
      <c r="J134" s="85"/>
    </row>
    <row r="135" spans="10:10" ht="13" x14ac:dyDescent="0.15">
      <c r="J135" s="85"/>
    </row>
    <row r="136" spans="10:10" ht="13" x14ac:dyDescent="0.15">
      <c r="J136" s="85"/>
    </row>
    <row r="137" spans="10:10" ht="13" x14ac:dyDescent="0.15">
      <c r="J137" s="85"/>
    </row>
    <row r="138" spans="10:10" ht="13" x14ac:dyDescent="0.15">
      <c r="J138" s="85"/>
    </row>
    <row r="139" spans="10:10" ht="13" x14ac:dyDescent="0.15">
      <c r="J139" s="85"/>
    </row>
    <row r="140" spans="10:10" ht="13" x14ac:dyDescent="0.15">
      <c r="J140" s="85"/>
    </row>
    <row r="141" spans="10:10" ht="13" x14ac:dyDescent="0.15">
      <c r="J141" s="85"/>
    </row>
    <row r="142" spans="10:10" ht="13" x14ac:dyDescent="0.15">
      <c r="J142" s="85"/>
    </row>
    <row r="143" spans="10:10" ht="13" x14ac:dyDescent="0.15">
      <c r="J143" s="85"/>
    </row>
    <row r="144" spans="10:10" ht="13" x14ac:dyDescent="0.15">
      <c r="J144" s="85"/>
    </row>
    <row r="145" spans="10:10" ht="13" x14ac:dyDescent="0.15">
      <c r="J145" s="85"/>
    </row>
    <row r="146" spans="10:10" ht="13" x14ac:dyDescent="0.15">
      <c r="J146" s="85"/>
    </row>
    <row r="147" spans="10:10" ht="13" x14ac:dyDescent="0.15">
      <c r="J147" s="85"/>
    </row>
    <row r="148" spans="10:10" ht="13" x14ac:dyDescent="0.15">
      <c r="J148" s="85"/>
    </row>
    <row r="149" spans="10:10" ht="13" x14ac:dyDescent="0.15">
      <c r="J149" s="85"/>
    </row>
    <row r="150" spans="10:10" ht="13" x14ac:dyDescent="0.15">
      <c r="J150" s="85"/>
    </row>
    <row r="151" spans="10:10" ht="13" x14ac:dyDescent="0.15">
      <c r="J151" s="85"/>
    </row>
    <row r="152" spans="10:10" ht="13" x14ac:dyDescent="0.15">
      <c r="J152" s="85"/>
    </row>
    <row r="153" spans="10:10" ht="13" x14ac:dyDescent="0.15">
      <c r="J153" s="85"/>
    </row>
    <row r="154" spans="10:10" ht="13" x14ac:dyDescent="0.15">
      <c r="J154" s="85"/>
    </row>
    <row r="155" spans="10:10" ht="13" x14ac:dyDescent="0.15">
      <c r="J155" s="85"/>
    </row>
    <row r="156" spans="10:10" ht="13" x14ac:dyDescent="0.15">
      <c r="J156" s="85"/>
    </row>
    <row r="157" spans="10:10" ht="13" x14ac:dyDescent="0.15">
      <c r="J157" s="85"/>
    </row>
    <row r="158" spans="10:10" ht="13" x14ac:dyDescent="0.15">
      <c r="J158" s="85"/>
    </row>
    <row r="159" spans="10:10" ht="13" x14ac:dyDescent="0.15">
      <c r="J159" s="85"/>
    </row>
    <row r="160" spans="10:10" ht="13" x14ac:dyDescent="0.15">
      <c r="J160" s="85"/>
    </row>
    <row r="161" spans="10:10" ht="13" x14ac:dyDescent="0.15">
      <c r="J161" s="85"/>
    </row>
    <row r="162" spans="10:10" ht="13" x14ac:dyDescent="0.15">
      <c r="J162" s="85"/>
    </row>
    <row r="163" spans="10:10" ht="13" x14ac:dyDescent="0.15">
      <c r="J163" s="85"/>
    </row>
    <row r="164" spans="10:10" ht="13" x14ac:dyDescent="0.15">
      <c r="J164" s="85"/>
    </row>
    <row r="165" spans="10:10" ht="13" x14ac:dyDescent="0.15">
      <c r="J165" s="85"/>
    </row>
    <row r="166" spans="10:10" ht="13" x14ac:dyDescent="0.15">
      <c r="J166" s="85"/>
    </row>
    <row r="167" spans="10:10" ht="13" x14ac:dyDescent="0.15">
      <c r="J167" s="85"/>
    </row>
    <row r="168" spans="10:10" ht="13" x14ac:dyDescent="0.15">
      <c r="J168" s="85"/>
    </row>
    <row r="169" spans="10:10" ht="13" x14ac:dyDescent="0.15">
      <c r="J169" s="85"/>
    </row>
    <row r="170" spans="10:10" ht="13" x14ac:dyDescent="0.15">
      <c r="J170" s="85"/>
    </row>
    <row r="171" spans="10:10" ht="13" x14ac:dyDescent="0.15">
      <c r="J171" s="85"/>
    </row>
    <row r="172" spans="10:10" ht="13" x14ac:dyDescent="0.15">
      <c r="J172" s="85"/>
    </row>
    <row r="173" spans="10:10" ht="13" x14ac:dyDescent="0.15">
      <c r="J173" s="85"/>
    </row>
    <row r="174" spans="10:10" ht="13" x14ac:dyDescent="0.15">
      <c r="J174" s="85"/>
    </row>
    <row r="175" spans="10:10" ht="13" x14ac:dyDescent="0.15">
      <c r="J175" s="85"/>
    </row>
    <row r="176" spans="10:10" ht="13" x14ac:dyDescent="0.15">
      <c r="J176" s="85"/>
    </row>
    <row r="177" spans="10:10" ht="13" x14ac:dyDescent="0.15">
      <c r="J177" s="85"/>
    </row>
    <row r="178" spans="10:10" ht="13" x14ac:dyDescent="0.15">
      <c r="J178" s="85"/>
    </row>
    <row r="179" spans="10:10" ht="13" x14ac:dyDescent="0.15">
      <c r="J179" s="85"/>
    </row>
    <row r="180" spans="10:10" ht="13" x14ac:dyDescent="0.15">
      <c r="J180" s="85"/>
    </row>
    <row r="181" spans="10:10" ht="13" x14ac:dyDescent="0.15">
      <c r="J181" s="85"/>
    </row>
    <row r="182" spans="10:10" ht="13" x14ac:dyDescent="0.15">
      <c r="J182" s="85"/>
    </row>
    <row r="183" spans="10:10" ht="13" x14ac:dyDescent="0.15">
      <c r="J183" s="85"/>
    </row>
    <row r="184" spans="10:10" ht="13" x14ac:dyDescent="0.15">
      <c r="J184" s="85"/>
    </row>
    <row r="185" spans="10:10" ht="13" x14ac:dyDescent="0.15">
      <c r="J185" s="85"/>
    </row>
    <row r="186" spans="10:10" ht="13" x14ac:dyDescent="0.15">
      <c r="J186" s="85"/>
    </row>
    <row r="187" spans="10:10" ht="13" x14ac:dyDescent="0.15">
      <c r="J187" s="85"/>
    </row>
    <row r="188" spans="10:10" ht="13" x14ac:dyDescent="0.15">
      <c r="J188" s="85"/>
    </row>
    <row r="189" spans="10:10" ht="13" x14ac:dyDescent="0.15">
      <c r="J189" s="85"/>
    </row>
    <row r="190" spans="10:10" ht="13" x14ac:dyDescent="0.15">
      <c r="J190" s="85"/>
    </row>
    <row r="191" spans="10:10" ht="13" x14ac:dyDescent="0.15">
      <c r="J191" s="85"/>
    </row>
    <row r="192" spans="10:10" ht="13" x14ac:dyDescent="0.15">
      <c r="J192" s="85"/>
    </row>
    <row r="193" spans="10:10" ht="13" x14ac:dyDescent="0.15">
      <c r="J193" s="85"/>
    </row>
    <row r="194" spans="10:10" ht="13" x14ac:dyDescent="0.15">
      <c r="J194" s="85"/>
    </row>
    <row r="195" spans="10:10" ht="13" x14ac:dyDescent="0.15">
      <c r="J195" s="85"/>
    </row>
    <row r="196" spans="10:10" ht="13" x14ac:dyDescent="0.15">
      <c r="J196" s="85"/>
    </row>
    <row r="197" spans="10:10" ht="13" x14ac:dyDescent="0.15">
      <c r="J197" s="85"/>
    </row>
    <row r="198" spans="10:10" ht="13" x14ac:dyDescent="0.15">
      <c r="J198" s="85"/>
    </row>
    <row r="199" spans="10:10" ht="13" x14ac:dyDescent="0.15">
      <c r="J199" s="85"/>
    </row>
    <row r="200" spans="10:10" ht="13" x14ac:dyDescent="0.15">
      <c r="J200" s="85"/>
    </row>
    <row r="201" spans="10:10" ht="13" x14ac:dyDescent="0.15">
      <c r="J201" s="85"/>
    </row>
    <row r="202" spans="10:10" ht="13" x14ac:dyDescent="0.15">
      <c r="J202" s="85"/>
    </row>
    <row r="203" spans="10:10" ht="13" x14ac:dyDescent="0.15">
      <c r="J203" s="85"/>
    </row>
    <row r="204" spans="10:10" ht="13" x14ac:dyDescent="0.15">
      <c r="J204" s="85"/>
    </row>
    <row r="205" spans="10:10" ht="13" x14ac:dyDescent="0.15">
      <c r="J205" s="85"/>
    </row>
    <row r="206" spans="10:10" ht="13" x14ac:dyDescent="0.15">
      <c r="J206" s="85"/>
    </row>
    <row r="207" spans="10:10" ht="13" x14ac:dyDescent="0.15">
      <c r="J207" s="85"/>
    </row>
    <row r="208" spans="10:10" ht="13" x14ac:dyDescent="0.15">
      <c r="J208" s="85"/>
    </row>
    <row r="209" spans="10:10" ht="13" x14ac:dyDescent="0.15">
      <c r="J209" s="85"/>
    </row>
    <row r="210" spans="10:10" ht="13" x14ac:dyDescent="0.15">
      <c r="J210" s="85"/>
    </row>
    <row r="211" spans="10:10" ht="13" x14ac:dyDescent="0.15">
      <c r="J211" s="85"/>
    </row>
    <row r="212" spans="10:10" ht="13" x14ac:dyDescent="0.15">
      <c r="J212" s="85"/>
    </row>
    <row r="213" spans="10:10" ht="13" x14ac:dyDescent="0.15">
      <c r="J213" s="85"/>
    </row>
    <row r="214" spans="10:10" ht="13" x14ac:dyDescent="0.15">
      <c r="J214" s="85"/>
    </row>
    <row r="215" spans="10:10" ht="13" x14ac:dyDescent="0.15">
      <c r="J215" s="85"/>
    </row>
    <row r="216" spans="10:10" ht="13" x14ac:dyDescent="0.15">
      <c r="J216" s="85"/>
    </row>
    <row r="217" spans="10:10" ht="13" x14ac:dyDescent="0.15">
      <c r="J217" s="85"/>
    </row>
    <row r="218" spans="10:10" ht="13" x14ac:dyDescent="0.15">
      <c r="J218" s="85"/>
    </row>
    <row r="219" spans="10:10" ht="13" x14ac:dyDescent="0.15">
      <c r="J219" s="85"/>
    </row>
    <row r="220" spans="10:10" ht="13" x14ac:dyDescent="0.15">
      <c r="J220" s="85"/>
    </row>
    <row r="221" spans="10:10" ht="13" x14ac:dyDescent="0.15">
      <c r="J221" s="85"/>
    </row>
    <row r="222" spans="10:10" ht="13" x14ac:dyDescent="0.15">
      <c r="J222" s="85"/>
    </row>
    <row r="223" spans="10:10" ht="13" x14ac:dyDescent="0.15">
      <c r="J223" s="85"/>
    </row>
    <row r="224" spans="10:10" ht="13" x14ac:dyDescent="0.15">
      <c r="J224" s="85"/>
    </row>
    <row r="225" spans="10:10" ht="13" x14ac:dyDescent="0.15">
      <c r="J225" s="85"/>
    </row>
    <row r="226" spans="10:10" ht="13" x14ac:dyDescent="0.15">
      <c r="J226" s="85"/>
    </row>
    <row r="227" spans="10:10" ht="13" x14ac:dyDescent="0.15">
      <c r="J227" s="85"/>
    </row>
    <row r="228" spans="10:10" ht="13" x14ac:dyDescent="0.15">
      <c r="J228" s="85"/>
    </row>
    <row r="229" spans="10:10" ht="13" x14ac:dyDescent="0.15">
      <c r="J229" s="85"/>
    </row>
    <row r="230" spans="10:10" ht="13" x14ac:dyDescent="0.15">
      <c r="J230" s="85"/>
    </row>
    <row r="231" spans="10:10" ht="13" x14ac:dyDescent="0.15">
      <c r="J231" s="85"/>
    </row>
    <row r="232" spans="10:10" ht="13" x14ac:dyDescent="0.15">
      <c r="J232" s="85"/>
    </row>
    <row r="233" spans="10:10" ht="13" x14ac:dyDescent="0.15">
      <c r="J233" s="85"/>
    </row>
    <row r="234" spans="10:10" ht="13" x14ac:dyDescent="0.15">
      <c r="J234" s="85"/>
    </row>
    <row r="235" spans="10:10" ht="13" x14ac:dyDescent="0.15">
      <c r="J235" s="85"/>
    </row>
    <row r="236" spans="10:10" ht="13" x14ac:dyDescent="0.15">
      <c r="J236" s="85"/>
    </row>
    <row r="237" spans="10:10" ht="13" x14ac:dyDescent="0.15">
      <c r="J237" s="85"/>
    </row>
    <row r="238" spans="10:10" ht="13" x14ac:dyDescent="0.15">
      <c r="J238" s="85"/>
    </row>
    <row r="239" spans="10:10" ht="13" x14ac:dyDescent="0.15">
      <c r="J239" s="85"/>
    </row>
    <row r="240" spans="10:10" ht="13" x14ac:dyDescent="0.15">
      <c r="J240" s="85"/>
    </row>
    <row r="241" spans="10:10" ht="13" x14ac:dyDescent="0.15">
      <c r="J241" s="85"/>
    </row>
    <row r="242" spans="10:10" ht="13" x14ac:dyDescent="0.15">
      <c r="J242" s="85"/>
    </row>
    <row r="243" spans="10:10" ht="13" x14ac:dyDescent="0.15">
      <c r="J243" s="85"/>
    </row>
    <row r="244" spans="10:10" ht="13" x14ac:dyDescent="0.15">
      <c r="J244" s="85"/>
    </row>
    <row r="245" spans="10:10" ht="13" x14ac:dyDescent="0.15">
      <c r="J245" s="85"/>
    </row>
    <row r="246" spans="10:10" ht="13" x14ac:dyDescent="0.15">
      <c r="J246" s="85"/>
    </row>
    <row r="247" spans="10:10" ht="13" x14ac:dyDescent="0.15">
      <c r="J247" s="85"/>
    </row>
    <row r="248" spans="10:10" ht="13" x14ac:dyDescent="0.15">
      <c r="J248" s="85"/>
    </row>
    <row r="249" spans="10:10" ht="13" x14ac:dyDescent="0.15">
      <c r="J249" s="85"/>
    </row>
    <row r="250" spans="10:10" ht="13" x14ac:dyDescent="0.15">
      <c r="J250" s="85"/>
    </row>
    <row r="251" spans="10:10" ht="13" x14ac:dyDescent="0.15">
      <c r="J251" s="85"/>
    </row>
    <row r="252" spans="10:10" ht="13" x14ac:dyDescent="0.15">
      <c r="J252" s="85"/>
    </row>
    <row r="253" spans="10:10" ht="13" x14ac:dyDescent="0.15">
      <c r="J253" s="85"/>
    </row>
    <row r="254" spans="10:10" ht="13" x14ac:dyDescent="0.15">
      <c r="J254" s="85"/>
    </row>
    <row r="255" spans="10:10" ht="13" x14ac:dyDescent="0.15">
      <c r="J255" s="85"/>
    </row>
    <row r="256" spans="10:10" ht="13" x14ac:dyDescent="0.15">
      <c r="J256" s="85"/>
    </row>
    <row r="257" spans="10:10" ht="13" x14ac:dyDescent="0.15">
      <c r="J257" s="85"/>
    </row>
    <row r="258" spans="10:10" ht="13" x14ac:dyDescent="0.15">
      <c r="J258" s="85"/>
    </row>
    <row r="259" spans="10:10" ht="13" x14ac:dyDescent="0.15">
      <c r="J259" s="85"/>
    </row>
    <row r="260" spans="10:10" ht="13" x14ac:dyDescent="0.15">
      <c r="J260" s="85"/>
    </row>
    <row r="261" spans="10:10" ht="13" x14ac:dyDescent="0.15">
      <c r="J261" s="85"/>
    </row>
    <row r="262" spans="10:10" ht="13" x14ac:dyDescent="0.15">
      <c r="J262" s="85"/>
    </row>
    <row r="263" spans="10:10" ht="13" x14ac:dyDescent="0.15">
      <c r="J263" s="85"/>
    </row>
    <row r="264" spans="10:10" ht="13" x14ac:dyDescent="0.15">
      <c r="J264" s="85"/>
    </row>
    <row r="265" spans="10:10" ht="13" x14ac:dyDescent="0.15">
      <c r="J265" s="85"/>
    </row>
    <row r="266" spans="10:10" ht="13" x14ac:dyDescent="0.15">
      <c r="J266" s="85"/>
    </row>
    <row r="267" spans="10:10" ht="13" x14ac:dyDescent="0.15">
      <c r="J267" s="85"/>
    </row>
    <row r="268" spans="10:10" ht="13" x14ac:dyDescent="0.15">
      <c r="J268" s="85"/>
    </row>
    <row r="269" spans="10:10" ht="13" x14ac:dyDescent="0.15">
      <c r="J269" s="85"/>
    </row>
    <row r="270" spans="10:10" ht="13" x14ac:dyDescent="0.15">
      <c r="J270" s="85"/>
    </row>
    <row r="271" spans="10:10" ht="13" x14ac:dyDescent="0.15">
      <c r="J271" s="85"/>
    </row>
    <row r="272" spans="10:10" ht="13" x14ac:dyDescent="0.15">
      <c r="J272" s="85"/>
    </row>
    <row r="273" spans="10:10" ht="13" x14ac:dyDescent="0.15">
      <c r="J273" s="85"/>
    </row>
    <row r="274" spans="10:10" ht="13" x14ac:dyDescent="0.15">
      <c r="J274" s="85"/>
    </row>
    <row r="275" spans="10:10" ht="13" x14ac:dyDescent="0.15">
      <c r="J275" s="85"/>
    </row>
    <row r="276" spans="10:10" ht="13" x14ac:dyDescent="0.15">
      <c r="J276" s="85"/>
    </row>
    <row r="277" spans="10:10" ht="13" x14ac:dyDescent="0.15">
      <c r="J277" s="85"/>
    </row>
    <row r="278" spans="10:10" ht="13" x14ac:dyDescent="0.15">
      <c r="J278" s="85"/>
    </row>
    <row r="279" spans="10:10" ht="13" x14ac:dyDescent="0.15">
      <c r="J279" s="85"/>
    </row>
    <row r="280" spans="10:10" ht="13" x14ac:dyDescent="0.15">
      <c r="J280" s="85"/>
    </row>
    <row r="281" spans="10:10" ht="13" x14ac:dyDescent="0.15">
      <c r="J281" s="85"/>
    </row>
    <row r="282" spans="10:10" ht="13" x14ac:dyDescent="0.15">
      <c r="J282" s="85"/>
    </row>
    <row r="283" spans="10:10" ht="13" x14ac:dyDescent="0.15">
      <c r="J283" s="85"/>
    </row>
    <row r="284" spans="10:10" ht="13" x14ac:dyDescent="0.15">
      <c r="J284" s="85"/>
    </row>
    <row r="285" spans="10:10" ht="13" x14ac:dyDescent="0.15">
      <c r="J285" s="85"/>
    </row>
    <row r="286" spans="10:10" ht="13" x14ac:dyDescent="0.15">
      <c r="J286" s="85"/>
    </row>
    <row r="287" spans="10:10" ht="13" x14ac:dyDescent="0.15">
      <c r="J287" s="85"/>
    </row>
    <row r="288" spans="10:10" ht="13" x14ac:dyDescent="0.15">
      <c r="J288" s="85"/>
    </row>
    <row r="289" spans="10:10" ht="13" x14ac:dyDescent="0.15">
      <c r="J289" s="85"/>
    </row>
    <row r="290" spans="10:10" ht="13" x14ac:dyDescent="0.15">
      <c r="J290" s="85"/>
    </row>
    <row r="291" spans="10:10" ht="13" x14ac:dyDescent="0.15">
      <c r="J291" s="85"/>
    </row>
    <row r="292" spans="10:10" ht="13" x14ac:dyDescent="0.15">
      <c r="J292" s="85"/>
    </row>
    <row r="293" spans="10:10" ht="13" x14ac:dyDescent="0.15">
      <c r="J293" s="85"/>
    </row>
    <row r="294" spans="10:10" ht="13" x14ac:dyDescent="0.15">
      <c r="J294" s="85"/>
    </row>
    <row r="295" spans="10:10" ht="13" x14ac:dyDescent="0.15">
      <c r="J295" s="85"/>
    </row>
    <row r="296" spans="10:10" ht="13" x14ac:dyDescent="0.15">
      <c r="J296" s="85"/>
    </row>
    <row r="297" spans="10:10" ht="13" x14ac:dyDescent="0.15">
      <c r="J297" s="85"/>
    </row>
    <row r="298" spans="10:10" ht="13" x14ac:dyDescent="0.15">
      <c r="J298" s="85"/>
    </row>
    <row r="299" spans="10:10" ht="13" x14ac:dyDescent="0.15">
      <c r="J299" s="85"/>
    </row>
    <row r="300" spans="10:10" ht="13" x14ac:dyDescent="0.15">
      <c r="J300" s="85"/>
    </row>
    <row r="301" spans="10:10" ht="13" x14ac:dyDescent="0.15">
      <c r="J301" s="85"/>
    </row>
    <row r="302" spans="10:10" ht="13" x14ac:dyDescent="0.15">
      <c r="J302" s="85"/>
    </row>
    <row r="303" spans="10:10" ht="13" x14ac:dyDescent="0.15">
      <c r="J303" s="85"/>
    </row>
    <row r="304" spans="10:10" ht="13" x14ac:dyDescent="0.15">
      <c r="J304" s="85"/>
    </row>
    <row r="305" spans="10:10" ht="13" x14ac:dyDescent="0.15">
      <c r="J305" s="85"/>
    </row>
    <row r="306" spans="10:10" ht="13" x14ac:dyDescent="0.15">
      <c r="J306" s="85"/>
    </row>
    <row r="307" spans="10:10" ht="13" x14ac:dyDescent="0.15">
      <c r="J307" s="85"/>
    </row>
    <row r="308" spans="10:10" ht="13" x14ac:dyDescent="0.15">
      <c r="J308" s="85"/>
    </row>
    <row r="309" spans="10:10" ht="13" x14ac:dyDescent="0.15">
      <c r="J309" s="85"/>
    </row>
    <row r="310" spans="10:10" ht="13" x14ac:dyDescent="0.15">
      <c r="J310" s="85"/>
    </row>
    <row r="311" spans="10:10" ht="13" x14ac:dyDescent="0.15">
      <c r="J311" s="85"/>
    </row>
    <row r="312" spans="10:10" ht="13" x14ac:dyDescent="0.15">
      <c r="J312" s="85"/>
    </row>
    <row r="313" spans="10:10" ht="13" x14ac:dyDescent="0.15">
      <c r="J313" s="85"/>
    </row>
    <row r="314" spans="10:10" ht="13" x14ac:dyDescent="0.15">
      <c r="J314" s="85"/>
    </row>
    <row r="315" spans="10:10" ht="13" x14ac:dyDescent="0.15">
      <c r="J315" s="85"/>
    </row>
    <row r="316" spans="10:10" ht="13" x14ac:dyDescent="0.15">
      <c r="J316" s="85"/>
    </row>
    <row r="317" spans="10:10" ht="13" x14ac:dyDescent="0.15">
      <c r="J317" s="85"/>
    </row>
    <row r="318" spans="10:10" ht="13" x14ac:dyDescent="0.15">
      <c r="J318" s="85"/>
    </row>
    <row r="319" spans="10:10" ht="13" x14ac:dyDescent="0.15">
      <c r="J319" s="85"/>
    </row>
    <row r="320" spans="10:10" ht="13" x14ac:dyDescent="0.15">
      <c r="J320" s="85"/>
    </row>
    <row r="321" spans="10:10" ht="13" x14ac:dyDescent="0.15">
      <c r="J321" s="85"/>
    </row>
    <row r="322" spans="10:10" ht="13" x14ac:dyDescent="0.15">
      <c r="J322" s="85"/>
    </row>
    <row r="323" spans="10:10" ht="13" x14ac:dyDescent="0.15">
      <c r="J323" s="85"/>
    </row>
    <row r="324" spans="10:10" ht="13" x14ac:dyDescent="0.15">
      <c r="J324" s="85"/>
    </row>
    <row r="325" spans="10:10" ht="13" x14ac:dyDescent="0.15">
      <c r="J325" s="85"/>
    </row>
    <row r="326" spans="10:10" ht="13" x14ac:dyDescent="0.15">
      <c r="J326" s="85"/>
    </row>
    <row r="327" spans="10:10" ht="13" x14ac:dyDescent="0.15">
      <c r="J327" s="85"/>
    </row>
    <row r="328" spans="10:10" ht="13" x14ac:dyDescent="0.15">
      <c r="J328" s="85"/>
    </row>
    <row r="329" spans="10:10" ht="13" x14ac:dyDescent="0.15">
      <c r="J329" s="85"/>
    </row>
    <row r="330" spans="10:10" ht="13" x14ac:dyDescent="0.15">
      <c r="J330" s="85"/>
    </row>
    <row r="331" spans="10:10" ht="13" x14ac:dyDescent="0.15">
      <c r="J331" s="85"/>
    </row>
    <row r="332" spans="10:10" ht="13" x14ac:dyDescent="0.15">
      <c r="J332" s="85"/>
    </row>
    <row r="333" spans="10:10" ht="13" x14ac:dyDescent="0.15">
      <c r="J333" s="85"/>
    </row>
    <row r="334" spans="10:10" ht="13" x14ac:dyDescent="0.15">
      <c r="J334" s="85"/>
    </row>
    <row r="335" spans="10:10" ht="13" x14ac:dyDescent="0.15">
      <c r="J335" s="85"/>
    </row>
    <row r="336" spans="10:10" ht="13" x14ac:dyDescent="0.15">
      <c r="J336" s="85"/>
    </row>
    <row r="337" spans="10:10" ht="13" x14ac:dyDescent="0.15">
      <c r="J337" s="85"/>
    </row>
    <row r="338" spans="10:10" ht="13" x14ac:dyDescent="0.15">
      <c r="J338" s="85"/>
    </row>
    <row r="339" spans="10:10" ht="13" x14ac:dyDescent="0.15">
      <c r="J339" s="85"/>
    </row>
    <row r="340" spans="10:10" ht="13" x14ac:dyDescent="0.15">
      <c r="J340" s="85"/>
    </row>
    <row r="341" spans="10:10" ht="13" x14ac:dyDescent="0.15">
      <c r="J341" s="85"/>
    </row>
    <row r="342" spans="10:10" ht="13" x14ac:dyDescent="0.15">
      <c r="J342" s="85"/>
    </row>
    <row r="343" spans="10:10" ht="13" x14ac:dyDescent="0.15">
      <c r="J343" s="85"/>
    </row>
    <row r="344" spans="10:10" ht="13" x14ac:dyDescent="0.15">
      <c r="J344" s="85"/>
    </row>
    <row r="345" spans="10:10" ht="13" x14ac:dyDescent="0.15">
      <c r="J345" s="85"/>
    </row>
    <row r="346" spans="10:10" ht="13" x14ac:dyDescent="0.15">
      <c r="J346" s="85"/>
    </row>
    <row r="347" spans="10:10" ht="13" x14ac:dyDescent="0.15">
      <c r="J347" s="85"/>
    </row>
    <row r="348" spans="10:10" ht="13" x14ac:dyDescent="0.15">
      <c r="J348" s="85"/>
    </row>
    <row r="349" spans="10:10" ht="13" x14ac:dyDescent="0.15">
      <c r="J349" s="85"/>
    </row>
    <row r="350" spans="10:10" ht="13" x14ac:dyDescent="0.15">
      <c r="J350" s="85"/>
    </row>
    <row r="351" spans="10:10" ht="13" x14ac:dyDescent="0.15">
      <c r="J351" s="85"/>
    </row>
    <row r="352" spans="10:10" ht="13" x14ac:dyDescent="0.15">
      <c r="J352" s="85"/>
    </row>
    <row r="353" spans="10:10" ht="13" x14ac:dyDescent="0.15">
      <c r="J353" s="85"/>
    </row>
    <row r="354" spans="10:10" ht="13" x14ac:dyDescent="0.15">
      <c r="J354" s="85"/>
    </row>
    <row r="355" spans="10:10" ht="13" x14ac:dyDescent="0.15">
      <c r="J355" s="85"/>
    </row>
    <row r="356" spans="10:10" ht="13" x14ac:dyDescent="0.15">
      <c r="J356" s="85"/>
    </row>
    <row r="357" spans="10:10" ht="13" x14ac:dyDescent="0.15">
      <c r="J357" s="85"/>
    </row>
    <row r="358" spans="10:10" ht="13" x14ac:dyDescent="0.15">
      <c r="J358" s="85"/>
    </row>
    <row r="359" spans="10:10" ht="13" x14ac:dyDescent="0.15">
      <c r="J359" s="85"/>
    </row>
    <row r="360" spans="10:10" ht="13" x14ac:dyDescent="0.15">
      <c r="J360" s="85"/>
    </row>
    <row r="361" spans="10:10" ht="13" x14ac:dyDescent="0.15">
      <c r="J361" s="85"/>
    </row>
    <row r="362" spans="10:10" ht="13" x14ac:dyDescent="0.15">
      <c r="J362" s="85"/>
    </row>
    <row r="363" spans="10:10" ht="13" x14ac:dyDescent="0.15">
      <c r="J363" s="85"/>
    </row>
    <row r="364" spans="10:10" ht="13" x14ac:dyDescent="0.15">
      <c r="J364" s="85"/>
    </row>
    <row r="365" spans="10:10" ht="13" x14ac:dyDescent="0.15">
      <c r="J365" s="85"/>
    </row>
    <row r="366" spans="10:10" ht="13" x14ac:dyDescent="0.15">
      <c r="J366" s="85"/>
    </row>
    <row r="367" spans="10:10" ht="13" x14ac:dyDescent="0.15">
      <c r="J367" s="85"/>
    </row>
    <row r="368" spans="10:10" ht="13" x14ac:dyDescent="0.15">
      <c r="J368" s="85"/>
    </row>
    <row r="369" spans="10:10" ht="13" x14ac:dyDescent="0.15">
      <c r="J369" s="85"/>
    </row>
    <row r="370" spans="10:10" ht="13" x14ac:dyDescent="0.15">
      <c r="J370" s="85"/>
    </row>
    <row r="371" spans="10:10" ht="13" x14ac:dyDescent="0.15">
      <c r="J371" s="85"/>
    </row>
    <row r="372" spans="10:10" ht="13" x14ac:dyDescent="0.15">
      <c r="J372" s="85"/>
    </row>
    <row r="373" spans="10:10" ht="13" x14ac:dyDescent="0.15">
      <c r="J373" s="85"/>
    </row>
    <row r="374" spans="10:10" ht="13" x14ac:dyDescent="0.15">
      <c r="J374" s="85"/>
    </row>
    <row r="375" spans="10:10" ht="13" x14ac:dyDescent="0.15">
      <c r="J375" s="85"/>
    </row>
    <row r="376" spans="10:10" ht="13" x14ac:dyDescent="0.15">
      <c r="J376" s="85"/>
    </row>
    <row r="377" spans="10:10" ht="13" x14ac:dyDescent="0.15">
      <c r="J377" s="85"/>
    </row>
    <row r="378" spans="10:10" ht="13" x14ac:dyDescent="0.15">
      <c r="J378" s="85"/>
    </row>
    <row r="379" spans="10:10" ht="13" x14ac:dyDescent="0.15">
      <c r="J379" s="85"/>
    </row>
    <row r="380" spans="10:10" ht="13" x14ac:dyDescent="0.15">
      <c r="J380" s="85"/>
    </row>
    <row r="381" spans="10:10" ht="13" x14ac:dyDescent="0.15">
      <c r="J381" s="85"/>
    </row>
    <row r="382" spans="10:10" ht="13" x14ac:dyDescent="0.15">
      <c r="J382" s="85"/>
    </row>
    <row r="383" spans="10:10" ht="13" x14ac:dyDescent="0.15">
      <c r="J383" s="85"/>
    </row>
    <row r="384" spans="10:10" ht="13" x14ac:dyDescent="0.15">
      <c r="J384" s="85"/>
    </row>
    <row r="385" spans="10:10" ht="13" x14ac:dyDescent="0.15">
      <c r="J385" s="85"/>
    </row>
    <row r="386" spans="10:10" ht="13" x14ac:dyDescent="0.15">
      <c r="J386" s="85"/>
    </row>
    <row r="387" spans="10:10" ht="13" x14ac:dyDescent="0.15">
      <c r="J387" s="85"/>
    </row>
    <row r="388" spans="10:10" ht="13" x14ac:dyDescent="0.15">
      <c r="J388" s="85"/>
    </row>
    <row r="389" spans="10:10" ht="13" x14ac:dyDescent="0.15">
      <c r="J389" s="85"/>
    </row>
    <row r="390" spans="10:10" ht="13" x14ac:dyDescent="0.15">
      <c r="J390" s="85"/>
    </row>
    <row r="391" spans="10:10" ht="13" x14ac:dyDescent="0.15">
      <c r="J391" s="85"/>
    </row>
    <row r="392" spans="10:10" ht="13" x14ac:dyDescent="0.15">
      <c r="J392" s="85"/>
    </row>
    <row r="393" spans="10:10" ht="13" x14ac:dyDescent="0.15">
      <c r="J393" s="85"/>
    </row>
    <row r="394" spans="10:10" ht="13" x14ac:dyDescent="0.15">
      <c r="J394" s="85"/>
    </row>
    <row r="395" spans="10:10" ht="13" x14ac:dyDescent="0.15">
      <c r="J395" s="85"/>
    </row>
    <row r="396" spans="10:10" ht="13" x14ac:dyDescent="0.15">
      <c r="J396" s="85"/>
    </row>
    <row r="397" spans="10:10" ht="13" x14ac:dyDescent="0.15">
      <c r="J397" s="85"/>
    </row>
    <row r="398" spans="10:10" ht="13" x14ac:dyDescent="0.15">
      <c r="J398" s="85"/>
    </row>
    <row r="399" spans="10:10" ht="13" x14ac:dyDescent="0.15">
      <c r="J399" s="85"/>
    </row>
    <row r="400" spans="10:10" ht="13" x14ac:dyDescent="0.15">
      <c r="J400" s="85"/>
    </row>
    <row r="401" spans="10:10" ht="13" x14ac:dyDescent="0.15">
      <c r="J401" s="85"/>
    </row>
    <row r="402" spans="10:10" ht="13" x14ac:dyDescent="0.15">
      <c r="J402" s="85"/>
    </row>
    <row r="403" spans="10:10" ht="13" x14ac:dyDescent="0.15">
      <c r="J403" s="85"/>
    </row>
    <row r="404" spans="10:10" ht="13" x14ac:dyDescent="0.15">
      <c r="J404" s="85"/>
    </row>
    <row r="405" spans="10:10" ht="13" x14ac:dyDescent="0.15">
      <c r="J405" s="85"/>
    </row>
    <row r="406" spans="10:10" ht="13" x14ac:dyDescent="0.15">
      <c r="J406" s="85"/>
    </row>
    <row r="407" spans="10:10" ht="13" x14ac:dyDescent="0.15">
      <c r="J407" s="85"/>
    </row>
    <row r="408" spans="10:10" ht="13" x14ac:dyDescent="0.15">
      <c r="J408" s="85"/>
    </row>
    <row r="409" spans="10:10" ht="13" x14ac:dyDescent="0.15">
      <c r="J409" s="85"/>
    </row>
    <row r="410" spans="10:10" ht="13" x14ac:dyDescent="0.15">
      <c r="J410" s="85"/>
    </row>
    <row r="411" spans="10:10" ht="13" x14ac:dyDescent="0.15">
      <c r="J411" s="85"/>
    </row>
    <row r="412" spans="10:10" ht="13" x14ac:dyDescent="0.15">
      <c r="J412" s="85"/>
    </row>
    <row r="413" spans="10:10" ht="13" x14ac:dyDescent="0.15">
      <c r="J413" s="85"/>
    </row>
    <row r="414" spans="10:10" ht="13" x14ac:dyDescent="0.15">
      <c r="J414" s="85"/>
    </row>
    <row r="415" spans="10:10" ht="13" x14ac:dyDescent="0.15">
      <c r="J415" s="85"/>
    </row>
    <row r="416" spans="10:10" ht="13" x14ac:dyDescent="0.15">
      <c r="J416" s="85"/>
    </row>
    <row r="417" spans="10:10" ht="13" x14ac:dyDescent="0.15">
      <c r="J417" s="85"/>
    </row>
    <row r="418" spans="10:10" ht="13" x14ac:dyDescent="0.15">
      <c r="J418" s="85"/>
    </row>
    <row r="419" spans="10:10" ht="13" x14ac:dyDescent="0.15">
      <c r="J419" s="85"/>
    </row>
    <row r="420" spans="10:10" ht="13" x14ac:dyDescent="0.15">
      <c r="J420" s="85"/>
    </row>
    <row r="421" spans="10:10" ht="13" x14ac:dyDescent="0.15">
      <c r="J421" s="85"/>
    </row>
    <row r="422" spans="10:10" ht="13" x14ac:dyDescent="0.15">
      <c r="J422" s="85"/>
    </row>
    <row r="423" spans="10:10" ht="13" x14ac:dyDescent="0.15">
      <c r="J423" s="85"/>
    </row>
    <row r="424" spans="10:10" ht="13" x14ac:dyDescent="0.15">
      <c r="J424" s="85"/>
    </row>
    <row r="425" spans="10:10" ht="13" x14ac:dyDescent="0.15">
      <c r="J425" s="85"/>
    </row>
    <row r="426" spans="10:10" ht="13" x14ac:dyDescent="0.15">
      <c r="J426" s="85"/>
    </row>
    <row r="427" spans="10:10" ht="13" x14ac:dyDescent="0.15">
      <c r="J427" s="85"/>
    </row>
    <row r="428" spans="10:10" ht="13" x14ac:dyDescent="0.15">
      <c r="J428" s="85"/>
    </row>
    <row r="429" spans="10:10" ht="13" x14ac:dyDescent="0.15">
      <c r="J429" s="85"/>
    </row>
    <row r="430" spans="10:10" ht="13" x14ac:dyDescent="0.15">
      <c r="J430" s="85"/>
    </row>
    <row r="431" spans="10:10" ht="13" x14ac:dyDescent="0.15">
      <c r="J431" s="85"/>
    </row>
    <row r="432" spans="10:10" ht="13" x14ac:dyDescent="0.15">
      <c r="J432" s="85"/>
    </row>
    <row r="433" spans="10:10" ht="13" x14ac:dyDescent="0.15">
      <c r="J433" s="85"/>
    </row>
    <row r="434" spans="10:10" ht="13" x14ac:dyDescent="0.15">
      <c r="J434" s="85"/>
    </row>
    <row r="435" spans="10:10" ht="13" x14ac:dyDescent="0.15">
      <c r="J435" s="85"/>
    </row>
    <row r="436" spans="10:10" ht="13" x14ac:dyDescent="0.15">
      <c r="J436" s="85"/>
    </row>
    <row r="437" spans="10:10" ht="13" x14ac:dyDescent="0.15">
      <c r="J437" s="85"/>
    </row>
    <row r="438" spans="10:10" ht="13" x14ac:dyDescent="0.15">
      <c r="J438" s="85"/>
    </row>
    <row r="439" spans="10:10" ht="13" x14ac:dyDescent="0.15">
      <c r="J439" s="85"/>
    </row>
    <row r="440" spans="10:10" ht="13" x14ac:dyDescent="0.15">
      <c r="J440" s="85"/>
    </row>
    <row r="441" spans="10:10" ht="13" x14ac:dyDescent="0.15">
      <c r="J441" s="85"/>
    </row>
    <row r="442" spans="10:10" ht="13" x14ac:dyDescent="0.15">
      <c r="J442" s="85"/>
    </row>
    <row r="443" spans="10:10" ht="13" x14ac:dyDescent="0.15">
      <c r="J443" s="85"/>
    </row>
    <row r="444" spans="10:10" ht="13" x14ac:dyDescent="0.15">
      <c r="J444" s="85"/>
    </row>
    <row r="445" spans="10:10" ht="13" x14ac:dyDescent="0.15">
      <c r="J445" s="85"/>
    </row>
    <row r="446" spans="10:10" ht="13" x14ac:dyDescent="0.15">
      <c r="J446" s="85"/>
    </row>
    <row r="447" spans="10:10" ht="13" x14ac:dyDescent="0.15">
      <c r="J447" s="85"/>
    </row>
    <row r="448" spans="10:10" ht="13" x14ac:dyDescent="0.15">
      <c r="J448" s="85"/>
    </row>
    <row r="449" spans="10:10" ht="13" x14ac:dyDescent="0.15">
      <c r="J449" s="85"/>
    </row>
    <row r="450" spans="10:10" ht="13" x14ac:dyDescent="0.15">
      <c r="J450" s="85"/>
    </row>
    <row r="451" spans="10:10" ht="13" x14ac:dyDescent="0.15">
      <c r="J451" s="85"/>
    </row>
    <row r="452" spans="10:10" ht="13" x14ac:dyDescent="0.15">
      <c r="J452" s="85"/>
    </row>
    <row r="453" spans="10:10" ht="13" x14ac:dyDescent="0.15">
      <c r="J453" s="85"/>
    </row>
    <row r="454" spans="10:10" ht="13" x14ac:dyDescent="0.15">
      <c r="J454" s="85"/>
    </row>
    <row r="455" spans="10:10" ht="13" x14ac:dyDescent="0.15">
      <c r="J455" s="85"/>
    </row>
    <row r="456" spans="10:10" ht="13" x14ac:dyDescent="0.15">
      <c r="J456" s="85"/>
    </row>
    <row r="457" spans="10:10" ht="13" x14ac:dyDescent="0.15">
      <c r="J457" s="85"/>
    </row>
    <row r="458" spans="10:10" ht="13" x14ac:dyDescent="0.15">
      <c r="J458" s="85"/>
    </row>
    <row r="459" spans="10:10" ht="13" x14ac:dyDescent="0.15">
      <c r="J459" s="85"/>
    </row>
    <row r="460" spans="10:10" ht="13" x14ac:dyDescent="0.15">
      <c r="J460" s="85"/>
    </row>
    <row r="461" spans="10:10" ht="13" x14ac:dyDescent="0.15">
      <c r="J461" s="85"/>
    </row>
    <row r="462" spans="10:10" ht="13" x14ac:dyDescent="0.15">
      <c r="J462" s="85"/>
    </row>
    <row r="463" spans="10:10" ht="13" x14ac:dyDescent="0.15">
      <c r="J463" s="85"/>
    </row>
    <row r="464" spans="10:10" ht="13" x14ac:dyDescent="0.15">
      <c r="J464" s="85"/>
    </row>
    <row r="465" spans="10:10" ht="13" x14ac:dyDescent="0.15">
      <c r="J465" s="85"/>
    </row>
    <row r="466" spans="10:10" ht="13" x14ac:dyDescent="0.15">
      <c r="J466" s="85"/>
    </row>
    <row r="467" spans="10:10" ht="13" x14ac:dyDescent="0.15">
      <c r="J467" s="85"/>
    </row>
    <row r="468" spans="10:10" ht="13" x14ac:dyDescent="0.15">
      <c r="J468" s="85"/>
    </row>
    <row r="469" spans="10:10" ht="13" x14ac:dyDescent="0.15">
      <c r="J469" s="85"/>
    </row>
    <row r="470" spans="10:10" ht="13" x14ac:dyDescent="0.15">
      <c r="J470" s="85"/>
    </row>
    <row r="471" spans="10:10" ht="13" x14ac:dyDescent="0.15">
      <c r="J471" s="85"/>
    </row>
    <row r="472" spans="10:10" ht="13" x14ac:dyDescent="0.15">
      <c r="J472" s="85"/>
    </row>
    <row r="473" spans="10:10" ht="13" x14ac:dyDescent="0.15">
      <c r="J473" s="85"/>
    </row>
    <row r="474" spans="10:10" ht="13" x14ac:dyDescent="0.15">
      <c r="J474" s="85"/>
    </row>
    <row r="475" spans="10:10" ht="13" x14ac:dyDescent="0.15">
      <c r="J475" s="85"/>
    </row>
    <row r="476" spans="10:10" ht="13" x14ac:dyDescent="0.15">
      <c r="J476" s="85"/>
    </row>
    <row r="477" spans="10:10" ht="13" x14ac:dyDescent="0.15">
      <c r="J477" s="85"/>
    </row>
    <row r="478" spans="10:10" ht="13" x14ac:dyDescent="0.15">
      <c r="J478" s="85"/>
    </row>
    <row r="479" spans="10:10" ht="13" x14ac:dyDescent="0.15">
      <c r="J479" s="85"/>
    </row>
    <row r="480" spans="10:10" ht="13" x14ac:dyDescent="0.15">
      <c r="J480" s="85"/>
    </row>
    <row r="481" spans="10:10" ht="13" x14ac:dyDescent="0.15">
      <c r="J481" s="85"/>
    </row>
    <row r="482" spans="10:10" ht="13" x14ac:dyDescent="0.15">
      <c r="J482" s="85"/>
    </row>
    <row r="483" spans="10:10" ht="13" x14ac:dyDescent="0.15">
      <c r="J483" s="85"/>
    </row>
    <row r="484" spans="10:10" ht="13" x14ac:dyDescent="0.15">
      <c r="J484" s="85"/>
    </row>
    <row r="485" spans="10:10" ht="13" x14ac:dyDescent="0.15">
      <c r="J485" s="85"/>
    </row>
    <row r="486" spans="10:10" ht="13" x14ac:dyDescent="0.15">
      <c r="J486" s="85"/>
    </row>
    <row r="487" spans="10:10" ht="13" x14ac:dyDescent="0.15">
      <c r="J487" s="85"/>
    </row>
    <row r="488" spans="10:10" ht="13" x14ac:dyDescent="0.15">
      <c r="J488" s="85"/>
    </row>
    <row r="489" spans="10:10" ht="13" x14ac:dyDescent="0.15">
      <c r="J489" s="85"/>
    </row>
    <row r="490" spans="10:10" ht="13" x14ac:dyDescent="0.15">
      <c r="J490" s="85"/>
    </row>
    <row r="491" spans="10:10" ht="13" x14ac:dyDescent="0.15">
      <c r="J491" s="85"/>
    </row>
    <row r="492" spans="10:10" ht="13" x14ac:dyDescent="0.15">
      <c r="J492" s="85"/>
    </row>
    <row r="493" spans="10:10" ht="13" x14ac:dyDescent="0.15">
      <c r="J493" s="85"/>
    </row>
    <row r="494" spans="10:10" ht="13" x14ac:dyDescent="0.15">
      <c r="J494" s="85"/>
    </row>
    <row r="495" spans="10:10" ht="13" x14ac:dyDescent="0.15">
      <c r="J495" s="85"/>
    </row>
    <row r="496" spans="10:10" ht="13" x14ac:dyDescent="0.15">
      <c r="J496" s="85"/>
    </row>
    <row r="497" spans="10:10" ht="13" x14ac:dyDescent="0.15">
      <c r="J497" s="85"/>
    </row>
    <row r="498" spans="10:10" ht="13" x14ac:dyDescent="0.15">
      <c r="J498" s="85"/>
    </row>
    <row r="499" spans="10:10" ht="13" x14ac:dyDescent="0.15">
      <c r="J499" s="85"/>
    </row>
    <row r="500" spans="10:10" ht="13" x14ac:dyDescent="0.15">
      <c r="J500" s="85"/>
    </row>
    <row r="501" spans="10:10" ht="13" x14ac:dyDescent="0.15">
      <c r="J501" s="85"/>
    </row>
    <row r="502" spans="10:10" ht="13" x14ac:dyDescent="0.15">
      <c r="J502" s="85"/>
    </row>
    <row r="503" spans="10:10" ht="13" x14ac:dyDescent="0.15">
      <c r="J503" s="85"/>
    </row>
    <row r="504" spans="10:10" ht="13" x14ac:dyDescent="0.15">
      <c r="J504" s="85"/>
    </row>
    <row r="505" spans="10:10" ht="13" x14ac:dyDescent="0.15">
      <c r="J505" s="85"/>
    </row>
    <row r="506" spans="10:10" ht="13" x14ac:dyDescent="0.15">
      <c r="J506" s="85"/>
    </row>
    <row r="507" spans="10:10" ht="13" x14ac:dyDescent="0.15">
      <c r="J507" s="85"/>
    </row>
    <row r="508" spans="10:10" ht="13" x14ac:dyDescent="0.15">
      <c r="J508" s="85"/>
    </row>
    <row r="509" spans="10:10" ht="13" x14ac:dyDescent="0.15">
      <c r="J509" s="85"/>
    </row>
    <row r="510" spans="10:10" ht="13" x14ac:dyDescent="0.15">
      <c r="J510" s="85"/>
    </row>
    <row r="511" spans="10:10" ht="13" x14ac:dyDescent="0.15">
      <c r="J511" s="85"/>
    </row>
    <row r="512" spans="10:10" ht="13" x14ac:dyDescent="0.15">
      <c r="J512" s="85"/>
    </row>
    <row r="513" spans="10:10" ht="13" x14ac:dyDescent="0.15">
      <c r="J513" s="85"/>
    </row>
    <row r="514" spans="10:10" ht="13" x14ac:dyDescent="0.15">
      <c r="J514" s="85"/>
    </row>
    <row r="515" spans="10:10" ht="13" x14ac:dyDescent="0.15">
      <c r="J515" s="85"/>
    </row>
    <row r="516" spans="10:10" ht="13" x14ac:dyDescent="0.15">
      <c r="J516" s="85"/>
    </row>
    <row r="517" spans="10:10" ht="13" x14ac:dyDescent="0.15">
      <c r="J517" s="85"/>
    </row>
    <row r="518" spans="10:10" ht="13" x14ac:dyDescent="0.15">
      <c r="J518" s="85"/>
    </row>
    <row r="519" spans="10:10" ht="13" x14ac:dyDescent="0.15">
      <c r="J519" s="85"/>
    </row>
    <row r="520" spans="10:10" ht="13" x14ac:dyDescent="0.15">
      <c r="J520" s="85"/>
    </row>
    <row r="521" spans="10:10" ht="13" x14ac:dyDescent="0.15">
      <c r="J521" s="85"/>
    </row>
    <row r="522" spans="10:10" ht="13" x14ac:dyDescent="0.15">
      <c r="J522" s="85"/>
    </row>
    <row r="523" spans="10:10" ht="13" x14ac:dyDescent="0.15">
      <c r="J523" s="85"/>
    </row>
    <row r="524" spans="10:10" ht="13" x14ac:dyDescent="0.15">
      <c r="J524" s="85"/>
    </row>
    <row r="525" spans="10:10" ht="13" x14ac:dyDescent="0.15">
      <c r="J525" s="85"/>
    </row>
    <row r="526" spans="10:10" ht="13" x14ac:dyDescent="0.15">
      <c r="J526" s="85"/>
    </row>
    <row r="527" spans="10:10" ht="13" x14ac:dyDescent="0.15">
      <c r="J527" s="85"/>
    </row>
    <row r="528" spans="10:10" ht="13" x14ac:dyDescent="0.15">
      <c r="J528" s="85"/>
    </row>
    <row r="529" spans="10:10" ht="13" x14ac:dyDescent="0.15">
      <c r="J529" s="85"/>
    </row>
    <row r="530" spans="10:10" ht="13" x14ac:dyDescent="0.15">
      <c r="J530" s="85"/>
    </row>
    <row r="531" spans="10:10" ht="13" x14ac:dyDescent="0.15">
      <c r="J531" s="85"/>
    </row>
    <row r="532" spans="10:10" ht="13" x14ac:dyDescent="0.15">
      <c r="J532" s="85"/>
    </row>
    <row r="533" spans="10:10" ht="13" x14ac:dyDescent="0.15">
      <c r="J533" s="85"/>
    </row>
    <row r="534" spans="10:10" ht="13" x14ac:dyDescent="0.15">
      <c r="J534" s="85"/>
    </row>
    <row r="535" spans="10:10" ht="13" x14ac:dyDescent="0.15">
      <c r="J535" s="85"/>
    </row>
    <row r="536" spans="10:10" ht="13" x14ac:dyDescent="0.15">
      <c r="J536" s="85"/>
    </row>
    <row r="537" spans="10:10" ht="13" x14ac:dyDescent="0.15">
      <c r="J537" s="85"/>
    </row>
    <row r="538" spans="10:10" ht="13" x14ac:dyDescent="0.15">
      <c r="J538" s="85"/>
    </row>
    <row r="539" spans="10:10" ht="13" x14ac:dyDescent="0.15">
      <c r="J539" s="85"/>
    </row>
    <row r="540" spans="10:10" ht="13" x14ac:dyDescent="0.15">
      <c r="J540" s="85"/>
    </row>
    <row r="541" spans="10:10" ht="13" x14ac:dyDescent="0.15">
      <c r="J541" s="85"/>
    </row>
    <row r="542" spans="10:10" ht="13" x14ac:dyDescent="0.15">
      <c r="J542" s="85"/>
    </row>
    <row r="543" spans="10:10" ht="13" x14ac:dyDescent="0.15">
      <c r="J543" s="85"/>
    </row>
    <row r="544" spans="10:10" ht="13" x14ac:dyDescent="0.15">
      <c r="J544" s="85"/>
    </row>
    <row r="545" spans="10:10" ht="13" x14ac:dyDescent="0.15">
      <c r="J545" s="85"/>
    </row>
    <row r="546" spans="10:10" ht="13" x14ac:dyDescent="0.15">
      <c r="J546" s="85"/>
    </row>
    <row r="547" spans="10:10" ht="13" x14ac:dyDescent="0.15">
      <c r="J547" s="85"/>
    </row>
    <row r="548" spans="10:10" ht="13" x14ac:dyDescent="0.15">
      <c r="J548" s="85"/>
    </row>
    <row r="549" spans="10:10" ht="13" x14ac:dyDescent="0.15">
      <c r="J549" s="85"/>
    </row>
    <row r="550" spans="10:10" ht="13" x14ac:dyDescent="0.15">
      <c r="J550" s="85"/>
    </row>
    <row r="551" spans="10:10" ht="13" x14ac:dyDescent="0.15">
      <c r="J551" s="85"/>
    </row>
    <row r="552" spans="10:10" ht="13" x14ac:dyDescent="0.15">
      <c r="J552" s="85"/>
    </row>
    <row r="553" spans="10:10" ht="13" x14ac:dyDescent="0.15">
      <c r="J553" s="85"/>
    </row>
    <row r="554" spans="10:10" ht="13" x14ac:dyDescent="0.15">
      <c r="J554" s="85"/>
    </row>
    <row r="555" spans="10:10" ht="13" x14ac:dyDescent="0.15">
      <c r="J555" s="85"/>
    </row>
    <row r="556" spans="10:10" ht="13" x14ac:dyDescent="0.15">
      <c r="J556" s="85"/>
    </row>
    <row r="557" spans="10:10" ht="13" x14ac:dyDescent="0.15">
      <c r="J557" s="85"/>
    </row>
    <row r="558" spans="10:10" ht="13" x14ac:dyDescent="0.15">
      <c r="J558" s="85"/>
    </row>
    <row r="559" spans="10:10" ht="13" x14ac:dyDescent="0.15">
      <c r="J559" s="85"/>
    </row>
    <row r="560" spans="10:10" ht="13" x14ac:dyDescent="0.15">
      <c r="J560" s="85"/>
    </row>
    <row r="561" spans="10:10" ht="13" x14ac:dyDescent="0.15">
      <c r="J561" s="85"/>
    </row>
    <row r="562" spans="10:10" ht="13" x14ac:dyDescent="0.15">
      <c r="J562" s="85"/>
    </row>
    <row r="563" spans="10:10" ht="13" x14ac:dyDescent="0.15">
      <c r="J563" s="85"/>
    </row>
    <row r="564" spans="10:10" ht="13" x14ac:dyDescent="0.15">
      <c r="J564" s="85"/>
    </row>
    <row r="565" spans="10:10" ht="13" x14ac:dyDescent="0.15">
      <c r="J565" s="85"/>
    </row>
    <row r="566" spans="10:10" ht="13" x14ac:dyDescent="0.15">
      <c r="J566" s="85"/>
    </row>
    <row r="567" spans="10:10" ht="13" x14ac:dyDescent="0.15">
      <c r="J567" s="85"/>
    </row>
    <row r="568" spans="10:10" ht="13" x14ac:dyDescent="0.15">
      <c r="J568" s="85"/>
    </row>
    <row r="569" spans="10:10" ht="13" x14ac:dyDescent="0.15">
      <c r="J569" s="85"/>
    </row>
    <row r="570" spans="10:10" ht="13" x14ac:dyDescent="0.15">
      <c r="J570" s="85"/>
    </row>
    <row r="571" spans="10:10" ht="13" x14ac:dyDescent="0.15">
      <c r="J571" s="85"/>
    </row>
    <row r="572" spans="10:10" ht="13" x14ac:dyDescent="0.15">
      <c r="J572" s="85"/>
    </row>
    <row r="573" spans="10:10" ht="13" x14ac:dyDescent="0.15">
      <c r="J573" s="85"/>
    </row>
    <row r="574" spans="10:10" ht="13" x14ac:dyDescent="0.15">
      <c r="J574" s="85"/>
    </row>
    <row r="575" spans="10:10" ht="13" x14ac:dyDescent="0.15">
      <c r="J575" s="85"/>
    </row>
    <row r="576" spans="10:10" ht="13" x14ac:dyDescent="0.15">
      <c r="J576" s="85"/>
    </row>
    <row r="577" spans="10:10" ht="13" x14ac:dyDescent="0.15">
      <c r="J577" s="85"/>
    </row>
    <row r="578" spans="10:10" ht="13" x14ac:dyDescent="0.15">
      <c r="J578" s="85"/>
    </row>
    <row r="579" spans="10:10" ht="13" x14ac:dyDescent="0.15">
      <c r="J579" s="85"/>
    </row>
    <row r="580" spans="10:10" ht="13" x14ac:dyDescent="0.15">
      <c r="J580" s="85"/>
    </row>
    <row r="581" spans="10:10" ht="13" x14ac:dyDescent="0.15">
      <c r="J581" s="85"/>
    </row>
    <row r="582" spans="10:10" ht="13" x14ac:dyDescent="0.15">
      <c r="J582" s="85"/>
    </row>
    <row r="583" spans="10:10" ht="13" x14ac:dyDescent="0.15">
      <c r="J583" s="85"/>
    </row>
    <row r="584" spans="10:10" ht="13" x14ac:dyDescent="0.15">
      <c r="J584" s="85"/>
    </row>
    <row r="585" spans="10:10" ht="13" x14ac:dyDescent="0.15">
      <c r="J585" s="85"/>
    </row>
    <row r="586" spans="10:10" ht="13" x14ac:dyDescent="0.15">
      <c r="J586" s="85"/>
    </row>
    <row r="587" spans="10:10" ht="13" x14ac:dyDescent="0.15">
      <c r="J587" s="85"/>
    </row>
    <row r="588" spans="10:10" ht="13" x14ac:dyDescent="0.15">
      <c r="J588" s="85"/>
    </row>
    <row r="589" spans="10:10" ht="13" x14ac:dyDescent="0.15">
      <c r="J589" s="85"/>
    </row>
    <row r="590" spans="10:10" ht="13" x14ac:dyDescent="0.15">
      <c r="J590" s="85"/>
    </row>
    <row r="591" spans="10:10" ht="13" x14ac:dyDescent="0.15">
      <c r="J591" s="85"/>
    </row>
    <row r="592" spans="10:10" ht="13" x14ac:dyDescent="0.15">
      <c r="J592" s="85"/>
    </row>
    <row r="593" spans="10:10" ht="13" x14ac:dyDescent="0.15">
      <c r="J593" s="85"/>
    </row>
    <row r="594" spans="10:10" ht="13" x14ac:dyDescent="0.15">
      <c r="J594" s="85"/>
    </row>
    <row r="595" spans="10:10" ht="13" x14ac:dyDescent="0.15">
      <c r="J595" s="85"/>
    </row>
    <row r="596" spans="10:10" ht="13" x14ac:dyDescent="0.15">
      <c r="J596" s="85"/>
    </row>
    <row r="597" spans="10:10" ht="13" x14ac:dyDescent="0.15">
      <c r="J597" s="85"/>
    </row>
    <row r="598" spans="10:10" ht="13" x14ac:dyDescent="0.15">
      <c r="J598" s="85"/>
    </row>
    <row r="599" spans="10:10" ht="13" x14ac:dyDescent="0.15">
      <c r="J599" s="85"/>
    </row>
    <row r="600" spans="10:10" ht="13" x14ac:dyDescent="0.15">
      <c r="J600" s="85"/>
    </row>
    <row r="601" spans="10:10" ht="13" x14ac:dyDescent="0.15">
      <c r="J601" s="85"/>
    </row>
    <row r="602" spans="10:10" ht="13" x14ac:dyDescent="0.15">
      <c r="J602" s="85"/>
    </row>
    <row r="603" spans="10:10" ht="13" x14ac:dyDescent="0.15">
      <c r="J603" s="85"/>
    </row>
    <row r="604" spans="10:10" ht="13" x14ac:dyDescent="0.15">
      <c r="J604" s="85"/>
    </row>
    <row r="605" spans="10:10" ht="13" x14ac:dyDescent="0.15">
      <c r="J605" s="85"/>
    </row>
    <row r="606" spans="10:10" ht="13" x14ac:dyDescent="0.15">
      <c r="J606" s="85"/>
    </row>
    <row r="607" spans="10:10" ht="13" x14ac:dyDescent="0.15">
      <c r="J607" s="85"/>
    </row>
    <row r="608" spans="10:10" ht="13" x14ac:dyDescent="0.15">
      <c r="J608" s="85"/>
    </row>
    <row r="609" spans="10:10" ht="13" x14ac:dyDescent="0.15">
      <c r="J609" s="85"/>
    </row>
    <row r="610" spans="10:10" ht="13" x14ac:dyDescent="0.15">
      <c r="J610" s="85"/>
    </row>
    <row r="611" spans="10:10" ht="13" x14ac:dyDescent="0.15">
      <c r="J611" s="85"/>
    </row>
    <row r="612" spans="10:10" ht="13" x14ac:dyDescent="0.15">
      <c r="J612" s="85"/>
    </row>
    <row r="613" spans="10:10" ht="13" x14ac:dyDescent="0.15">
      <c r="J613" s="85"/>
    </row>
    <row r="614" spans="10:10" ht="13" x14ac:dyDescent="0.15">
      <c r="J614" s="85"/>
    </row>
    <row r="615" spans="10:10" ht="13" x14ac:dyDescent="0.15">
      <c r="J615" s="85"/>
    </row>
    <row r="616" spans="10:10" ht="13" x14ac:dyDescent="0.15">
      <c r="J616" s="85"/>
    </row>
    <row r="617" spans="10:10" ht="13" x14ac:dyDescent="0.15">
      <c r="J617" s="85"/>
    </row>
    <row r="618" spans="10:10" ht="13" x14ac:dyDescent="0.15">
      <c r="J618" s="85"/>
    </row>
    <row r="619" spans="10:10" ht="13" x14ac:dyDescent="0.15">
      <c r="J619" s="85"/>
    </row>
    <row r="620" spans="10:10" ht="13" x14ac:dyDescent="0.15">
      <c r="J620" s="85"/>
    </row>
    <row r="621" spans="10:10" ht="13" x14ac:dyDescent="0.15">
      <c r="J621" s="85"/>
    </row>
    <row r="622" spans="10:10" ht="13" x14ac:dyDescent="0.15">
      <c r="J622" s="85"/>
    </row>
    <row r="623" spans="10:10" ht="13" x14ac:dyDescent="0.15">
      <c r="J623" s="85"/>
    </row>
    <row r="624" spans="10:10" ht="13" x14ac:dyDescent="0.15">
      <c r="J624" s="85"/>
    </row>
    <row r="625" spans="10:10" ht="13" x14ac:dyDescent="0.15">
      <c r="J625" s="85"/>
    </row>
    <row r="626" spans="10:10" ht="13" x14ac:dyDescent="0.15">
      <c r="J626" s="85"/>
    </row>
    <row r="627" spans="10:10" ht="13" x14ac:dyDescent="0.15">
      <c r="J627" s="85"/>
    </row>
    <row r="628" spans="10:10" ht="13" x14ac:dyDescent="0.15">
      <c r="J628" s="85"/>
    </row>
    <row r="629" spans="10:10" ht="13" x14ac:dyDescent="0.15">
      <c r="J629" s="85"/>
    </row>
    <row r="630" spans="10:10" ht="13" x14ac:dyDescent="0.15">
      <c r="J630" s="85"/>
    </row>
    <row r="631" spans="10:10" ht="13" x14ac:dyDescent="0.15">
      <c r="J631" s="85"/>
    </row>
    <row r="632" spans="10:10" ht="13" x14ac:dyDescent="0.15">
      <c r="J632" s="85"/>
    </row>
    <row r="633" spans="10:10" ht="13" x14ac:dyDescent="0.15">
      <c r="J633" s="85"/>
    </row>
    <row r="634" spans="10:10" ht="13" x14ac:dyDescent="0.15">
      <c r="J634" s="85"/>
    </row>
    <row r="635" spans="10:10" ht="13" x14ac:dyDescent="0.15">
      <c r="J635" s="85"/>
    </row>
    <row r="636" spans="10:10" ht="13" x14ac:dyDescent="0.15">
      <c r="J636" s="85"/>
    </row>
    <row r="637" spans="10:10" ht="13" x14ac:dyDescent="0.15">
      <c r="J637" s="85"/>
    </row>
    <row r="638" spans="10:10" ht="13" x14ac:dyDescent="0.15">
      <c r="J638" s="85"/>
    </row>
    <row r="639" spans="10:10" ht="13" x14ac:dyDescent="0.15">
      <c r="J639" s="85"/>
    </row>
    <row r="640" spans="10:10" ht="13" x14ac:dyDescent="0.15">
      <c r="J640" s="85"/>
    </row>
    <row r="641" spans="10:10" ht="13" x14ac:dyDescent="0.15">
      <c r="J641" s="85"/>
    </row>
    <row r="642" spans="10:10" ht="13" x14ac:dyDescent="0.15">
      <c r="J642" s="85"/>
    </row>
    <row r="643" spans="10:10" ht="13" x14ac:dyDescent="0.15">
      <c r="J643" s="85"/>
    </row>
    <row r="644" spans="10:10" ht="13" x14ac:dyDescent="0.15">
      <c r="J644" s="85"/>
    </row>
    <row r="645" spans="10:10" ht="13" x14ac:dyDescent="0.15">
      <c r="J645" s="85"/>
    </row>
    <row r="646" spans="10:10" ht="13" x14ac:dyDescent="0.15">
      <c r="J646" s="85"/>
    </row>
    <row r="647" spans="10:10" ht="13" x14ac:dyDescent="0.15">
      <c r="J647" s="85"/>
    </row>
    <row r="648" spans="10:10" ht="13" x14ac:dyDescent="0.15">
      <c r="J648" s="85"/>
    </row>
    <row r="649" spans="10:10" ht="13" x14ac:dyDescent="0.15">
      <c r="J649" s="85"/>
    </row>
    <row r="650" spans="10:10" ht="13" x14ac:dyDescent="0.15">
      <c r="J650" s="85"/>
    </row>
    <row r="651" spans="10:10" ht="13" x14ac:dyDescent="0.15">
      <c r="J651" s="85"/>
    </row>
    <row r="652" spans="10:10" ht="13" x14ac:dyDescent="0.15">
      <c r="J652" s="85"/>
    </row>
    <row r="653" spans="10:10" ht="13" x14ac:dyDescent="0.15">
      <c r="J653" s="85"/>
    </row>
    <row r="654" spans="10:10" ht="13" x14ac:dyDescent="0.15">
      <c r="J654" s="85"/>
    </row>
    <row r="655" spans="10:10" ht="13" x14ac:dyDescent="0.15">
      <c r="J655" s="85"/>
    </row>
    <row r="656" spans="10:10" ht="13" x14ac:dyDescent="0.15">
      <c r="J656" s="85"/>
    </row>
    <row r="657" spans="10:10" ht="13" x14ac:dyDescent="0.15">
      <c r="J657" s="85"/>
    </row>
    <row r="658" spans="10:10" ht="13" x14ac:dyDescent="0.15">
      <c r="J658" s="85"/>
    </row>
    <row r="659" spans="10:10" ht="13" x14ac:dyDescent="0.15">
      <c r="J659" s="85"/>
    </row>
    <row r="660" spans="10:10" ht="13" x14ac:dyDescent="0.15">
      <c r="J660" s="85"/>
    </row>
    <row r="661" spans="10:10" ht="13" x14ac:dyDescent="0.15">
      <c r="J661" s="85"/>
    </row>
    <row r="662" spans="10:10" ht="13" x14ac:dyDescent="0.15">
      <c r="J662" s="85"/>
    </row>
    <row r="663" spans="10:10" ht="13" x14ac:dyDescent="0.15">
      <c r="J663" s="85"/>
    </row>
    <row r="664" spans="10:10" ht="13" x14ac:dyDescent="0.15">
      <c r="J664" s="85"/>
    </row>
    <row r="665" spans="10:10" ht="13" x14ac:dyDescent="0.15">
      <c r="J665" s="85"/>
    </row>
    <row r="666" spans="10:10" ht="13" x14ac:dyDescent="0.15">
      <c r="J666" s="85"/>
    </row>
    <row r="667" spans="10:10" ht="13" x14ac:dyDescent="0.15">
      <c r="J667" s="85"/>
    </row>
    <row r="668" spans="10:10" ht="13" x14ac:dyDescent="0.15">
      <c r="J668" s="85"/>
    </row>
    <row r="669" spans="10:10" ht="13" x14ac:dyDescent="0.15">
      <c r="J669" s="85"/>
    </row>
    <row r="670" spans="10:10" ht="13" x14ac:dyDescent="0.15">
      <c r="J670" s="85"/>
    </row>
    <row r="671" spans="10:10" ht="13" x14ac:dyDescent="0.15">
      <c r="J671" s="85"/>
    </row>
    <row r="672" spans="10:10" ht="13" x14ac:dyDescent="0.15">
      <c r="J672" s="85"/>
    </row>
    <row r="673" spans="10:10" ht="13" x14ac:dyDescent="0.15">
      <c r="J673" s="85"/>
    </row>
    <row r="674" spans="10:10" ht="13" x14ac:dyDescent="0.15">
      <c r="J674" s="85"/>
    </row>
    <row r="675" spans="10:10" ht="13" x14ac:dyDescent="0.15">
      <c r="J675" s="85"/>
    </row>
    <row r="676" spans="10:10" ht="13" x14ac:dyDescent="0.15">
      <c r="J676" s="85"/>
    </row>
    <row r="677" spans="10:10" ht="13" x14ac:dyDescent="0.15">
      <c r="J677" s="85"/>
    </row>
    <row r="678" spans="10:10" ht="13" x14ac:dyDescent="0.15">
      <c r="J678" s="85"/>
    </row>
    <row r="679" spans="10:10" ht="13" x14ac:dyDescent="0.15">
      <c r="J679" s="85"/>
    </row>
    <row r="680" spans="10:10" ht="13" x14ac:dyDescent="0.15">
      <c r="J680" s="85"/>
    </row>
    <row r="681" spans="10:10" ht="13" x14ac:dyDescent="0.15">
      <c r="J681" s="85"/>
    </row>
    <row r="682" spans="10:10" ht="13" x14ac:dyDescent="0.15">
      <c r="J682" s="85"/>
    </row>
    <row r="683" spans="10:10" ht="13" x14ac:dyDescent="0.15">
      <c r="J683" s="85"/>
    </row>
    <row r="684" spans="10:10" ht="13" x14ac:dyDescent="0.15">
      <c r="J684" s="85"/>
    </row>
    <row r="685" spans="10:10" ht="13" x14ac:dyDescent="0.15">
      <c r="J685" s="85"/>
    </row>
    <row r="686" spans="10:10" ht="13" x14ac:dyDescent="0.15">
      <c r="J686" s="85"/>
    </row>
    <row r="687" spans="10:10" ht="13" x14ac:dyDescent="0.15">
      <c r="J687" s="85"/>
    </row>
    <row r="688" spans="10:10" ht="13" x14ac:dyDescent="0.15">
      <c r="J688" s="85"/>
    </row>
    <row r="689" spans="10:10" ht="13" x14ac:dyDescent="0.15">
      <c r="J689" s="85"/>
    </row>
    <row r="690" spans="10:10" ht="13" x14ac:dyDescent="0.15">
      <c r="J690" s="85"/>
    </row>
    <row r="691" spans="10:10" ht="13" x14ac:dyDescent="0.15">
      <c r="J691" s="85"/>
    </row>
    <row r="692" spans="10:10" ht="13" x14ac:dyDescent="0.15">
      <c r="J692" s="85"/>
    </row>
    <row r="693" spans="10:10" ht="13" x14ac:dyDescent="0.15">
      <c r="J693" s="85"/>
    </row>
    <row r="694" spans="10:10" ht="13" x14ac:dyDescent="0.15">
      <c r="J694" s="85"/>
    </row>
    <row r="695" spans="10:10" ht="13" x14ac:dyDescent="0.15">
      <c r="J695" s="85"/>
    </row>
    <row r="696" spans="10:10" ht="13" x14ac:dyDescent="0.15">
      <c r="J696" s="85"/>
    </row>
    <row r="697" spans="10:10" ht="13" x14ac:dyDescent="0.15">
      <c r="J697" s="85"/>
    </row>
    <row r="698" spans="10:10" ht="13" x14ac:dyDescent="0.15">
      <c r="J698" s="85"/>
    </row>
    <row r="699" spans="10:10" ht="13" x14ac:dyDescent="0.15">
      <c r="J699" s="85"/>
    </row>
    <row r="700" spans="10:10" ht="13" x14ac:dyDescent="0.15">
      <c r="J700" s="85"/>
    </row>
    <row r="701" spans="10:10" ht="13" x14ac:dyDescent="0.15">
      <c r="J701" s="85"/>
    </row>
    <row r="702" spans="10:10" ht="13" x14ac:dyDescent="0.15">
      <c r="J702" s="85"/>
    </row>
    <row r="703" spans="10:10" ht="13" x14ac:dyDescent="0.15">
      <c r="J703" s="85"/>
    </row>
    <row r="704" spans="10:10" ht="13" x14ac:dyDescent="0.15">
      <c r="J704" s="85"/>
    </row>
    <row r="705" spans="10:10" ht="13" x14ac:dyDescent="0.15">
      <c r="J705" s="85"/>
    </row>
    <row r="706" spans="10:10" ht="13" x14ac:dyDescent="0.15">
      <c r="J706" s="85"/>
    </row>
    <row r="707" spans="10:10" ht="13" x14ac:dyDescent="0.15">
      <c r="J707" s="85"/>
    </row>
    <row r="708" spans="10:10" ht="13" x14ac:dyDescent="0.15">
      <c r="J708" s="85"/>
    </row>
    <row r="709" spans="10:10" ht="13" x14ac:dyDescent="0.15">
      <c r="J709" s="85"/>
    </row>
    <row r="710" spans="10:10" ht="13" x14ac:dyDescent="0.15">
      <c r="J710" s="85"/>
    </row>
    <row r="711" spans="10:10" ht="13" x14ac:dyDescent="0.15">
      <c r="J711" s="85"/>
    </row>
    <row r="712" spans="10:10" ht="13" x14ac:dyDescent="0.15">
      <c r="J712" s="85"/>
    </row>
    <row r="713" spans="10:10" ht="13" x14ac:dyDescent="0.15">
      <c r="J713" s="85"/>
    </row>
    <row r="714" spans="10:10" ht="13" x14ac:dyDescent="0.15">
      <c r="J714" s="85"/>
    </row>
    <row r="715" spans="10:10" ht="13" x14ac:dyDescent="0.15">
      <c r="J715" s="85"/>
    </row>
    <row r="716" spans="10:10" ht="13" x14ac:dyDescent="0.15">
      <c r="J716" s="85"/>
    </row>
    <row r="717" spans="10:10" ht="13" x14ac:dyDescent="0.15">
      <c r="J717" s="85"/>
    </row>
    <row r="718" spans="10:10" ht="13" x14ac:dyDescent="0.15">
      <c r="J718" s="85"/>
    </row>
    <row r="719" spans="10:10" ht="13" x14ac:dyDescent="0.15">
      <c r="J719" s="85"/>
    </row>
    <row r="720" spans="10:10" ht="13" x14ac:dyDescent="0.15">
      <c r="J720" s="85"/>
    </row>
    <row r="721" spans="10:10" ht="13" x14ac:dyDescent="0.15">
      <c r="J721" s="85"/>
    </row>
    <row r="722" spans="10:10" ht="13" x14ac:dyDescent="0.15">
      <c r="J722" s="85"/>
    </row>
    <row r="723" spans="10:10" ht="13" x14ac:dyDescent="0.15">
      <c r="J723" s="85"/>
    </row>
    <row r="724" spans="10:10" ht="13" x14ac:dyDescent="0.15">
      <c r="J724" s="85"/>
    </row>
    <row r="725" spans="10:10" ht="13" x14ac:dyDescent="0.15">
      <c r="J725" s="85"/>
    </row>
    <row r="726" spans="10:10" ht="13" x14ac:dyDescent="0.15">
      <c r="J726" s="85"/>
    </row>
    <row r="727" spans="10:10" ht="13" x14ac:dyDescent="0.15">
      <c r="J727" s="85"/>
    </row>
    <row r="728" spans="10:10" ht="13" x14ac:dyDescent="0.15">
      <c r="J728" s="85"/>
    </row>
    <row r="729" spans="10:10" ht="13" x14ac:dyDescent="0.15">
      <c r="J729" s="85"/>
    </row>
    <row r="730" spans="10:10" ht="13" x14ac:dyDescent="0.15">
      <c r="J730" s="85"/>
    </row>
    <row r="731" spans="10:10" ht="13" x14ac:dyDescent="0.15">
      <c r="J731" s="85"/>
    </row>
    <row r="732" spans="10:10" ht="13" x14ac:dyDescent="0.15">
      <c r="J732" s="85"/>
    </row>
    <row r="733" spans="10:10" ht="13" x14ac:dyDescent="0.15">
      <c r="J733" s="85"/>
    </row>
    <row r="734" spans="10:10" ht="13" x14ac:dyDescent="0.15">
      <c r="J734" s="85"/>
    </row>
    <row r="735" spans="10:10" ht="13" x14ac:dyDescent="0.15">
      <c r="J735" s="85"/>
    </row>
    <row r="736" spans="10:10" ht="13" x14ac:dyDescent="0.15">
      <c r="J736" s="85"/>
    </row>
    <row r="737" spans="10:10" ht="13" x14ac:dyDescent="0.15">
      <c r="J737" s="85"/>
    </row>
    <row r="738" spans="10:10" ht="13" x14ac:dyDescent="0.15">
      <c r="J738" s="85"/>
    </row>
    <row r="739" spans="10:10" ht="13" x14ac:dyDescent="0.15">
      <c r="J739" s="85"/>
    </row>
    <row r="740" spans="10:10" ht="13" x14ac:dyDescent="0.15">
      <c r="J740" s="85"/>
    </row>
    <row r="741" spans="10:10" ht="13" x14ac:dyDescent="0.15">
      <c r="J741" s="85"/>
    </row>
    <row r="742" spans="10:10" ht="13" x14ac:dyDescent="0.15">
      <c r="J742" s="85"/>
    </row>
    <row r="743" spans="10:10" ht="13" x14ac:dyDescent="0.15">
      <c r="J743" s="85"/>
    </row>
    <row r="744" spans="10:10" ht="13" x14ac:dyDescent="0.15">
      <c r="J744" s="85"/>
    </row>
    <row r="745" spans="10:10" ht="13" x14ac:dyDescent="0.15">
      <c r="J745" s="85"/>
    </row>
    <row r="746" spans="10:10" ht="13" x14ac:dyDescent="0.15">
      <c r="J746" s="85"/>
    </row>
    <row r="747" spans="10:10" ht="13" x14ac:dyDescent="0.15">
      <c r="J747" s="85"/>
    </row>
    <row r="748" spans="10:10" ht="13" x14ac:dyDescent="0.15">
      <c r="J748" s="85"/>
    </row>
    <row r="749" spans="10:10" ht="13" x14ac:dyDescent="0.15">
      <c r="J749" s="85"/>
    </row>
    <row r="750" spans="10:10" ht="13" x14ac:dyDescent="0.15">
      <c r="J750" s="85"/>
    </row>
    <row r="751" spans="10:10" ht="13" x14ac:dyDescent="0.15">
      <c r="J751" s="85"/>
    </row>
    <row r="752" spans="10:10" ht="13" x14ac:dyDescent="0.15">
      <c r="J752" s="85"/>
    </row>
    <row r="753" spans="10:10" ht="13" x14ac:dyDescent="0.15">
      <c r="J753" s="85"/>
    </row>
    <row r="754" spans="10:10" ht="13" x14ac:dyDescent="0.15">
      <c r="J754" s="85"/>
    </row>
    <row r="755" spans="10:10" ht="13" x14ac:dyDescent="0.15">
      <c r="J755" s="85"/>
    </row>
    <row r="756" spans="10:10" ht="13" x14ac:dyDescent="0.15">
      <c r="J756" s="85"/>
    </row>
    <row r="757" spans="10:10" ht="13" x14ac:dyDescent="0.15">
      <c r="J757" s="85"/>
    </row>
    <row r="758" spans="10:10" ht="13" x14ac:dyDescent="0.15">
      <c r="J758" s="85"/>
    </row>
    <row r="759" spans="10:10" ht="13" x14ac:dyDescent="0.15">
      <c r="J759" s="85"/>
    </row>
    <row r="760" spans="10:10" ht="13" x14ac:dyDescent="0.15">
      <c r="J760" s="85"/>
    </row>
    <row r="761" spans="10:10" ht="13" x14ac:dyDescent="0.15">
      <c r="J761" s="85"/>
    </row>
    <row r="762" spans="10:10" ht="13" x14ac:dyDescent="0.15">
      <c r="J762" s="85"/>
    </row>
    <row r="763" spans="10:10" ht="13" x14ac:dyDescent="0.15">
      <c r="J763" s="85"/>
    </row>
    <row r="764" spans="10:10" ht="13" x14ac:dyDescent="0.15">
      <c r="J764" s="85"/>
    </row>
    <row r="765" spans="10:10" ht="13" x14ac:dyDescent="0.15">
      <c r="J765" s="85"/>
    </row>
    <row r="766" spans="10:10" ht="13" x14ac:dyDescent="0.15">
      <c r="J766" s="85"/>
    </row>
    <row r="767" spans="10:10" ht="13" x14ac:dyDescent="0.15">
      <c r="J767" s="85"/>
    </row>
    <row r="768" spans="10:10" ht="13" x14ac:dyDescent="0.15">
      <c r="J768" s="85"/>
    </row>
    <row r="769" spans="10:10" ht="13" x14ac:dyDescent="0.15">
      <c r="J769" s="85"/>
    </row>
    <row r="770" spans="10:10" ht="13" x14ac:dyDescent="0.15">
      <c r="J770" s="85"/>
    </row>
    <row r="771" spans="10:10" ht="13" x14ac:dyDescent="0.15">
      <c r="J771" s="85"/>
    </row>
    <row r="772" spans="10:10" ht="13" x14ac:dyDescent="0.15">
      <c r="J772" s="85"/>
    </row>
    <row r="773" spans="10:10" ht="13" x14ac:dyDescent="0.15">
      <c r="J773" s="85"/>
    </row>
    <row r="774" spans="10:10" ht="13" x14ac:dyDescent="0.15">
      <c r="J774" s="85"/>
    </row>
    <row r="775" spans="10:10" ht="13" x14ac:dyDescent="0.15">
      <c r="J775" s="85"/>
    </row>
    <row r="776" spans="10:10" ht="13" x14ac:dyDescent="0.15">
      <c r="J776" s="85"/>
    </row>
    <row r="777" spans="10:10" ht="13" x14ac:dyDescent="0.15">
      <c r="J777" s="85"/>
    </row>
    <row r="778" spans="10:10" ht="13" x14ac:dyDescent="0.15">
      <c r="J778" s="85"/>
    </row>
    <row r="779" spans="10:10" ht="13" x14ac:dyDescent="0.15">
      <c r="J779" s="85"/>
    </row>
    <row r="780" spans="10:10" ht="13" x14ac:dyDescent="0.15">
      <c r="J780" s="85"/>
    </row>
    <row r="781" spans="10:10" ht="13" x14ac:dyDescent="0.15">
      <c r="J781" s="85"/>
    </row>
    <row r="782" spans="10:10" ht="13" x14ac:dyDescent="0.15">
      <c r="J782" s="85"/>
    </row>
    <row r="783" spans="10:10" ht="13" x14ac:dyDescent="0.15">
      <c r="J783" s="85"/>
    </row>
    <row r="784" spans="10:10" ht="13" x14ac:dyDescent="0.15">
      <c r="J784" s="85"/>
    </row>
    <row r="785" spans="10:10" ht="13" x14ac:dyDescent="0.15">
      <c r="J785" s="85"/>
    </row>
    <row r="786" spans="10:10" ht="13" x14ac:dyDescent="0.15">
      <c r="J786" s="85"/>
    </row>
    <row r="787" spans="10:10" ht="13" x14ac:dyDescent="0.15">
      <c r="J787" s="85"/>
    </row>
    <row r="788" spans="10:10" ht="13" x14ac:dyDescent="0.15">
      <c r="J788" s="85"/>
    </row>
    <row r="789" spans="10:10" ht="13" x14ac:dyDescent="0.15">
      <c r="J789" s="85"/>
    </row>
    <row r="790" spans="10:10" ht="13" x14ac:dyDescent="0.15">
      <c r="J790" s="85"/>
    </row>
    <row r="791" spans="10:10" ht="13" x14ac:dyDescent="0.15">
      <c r="J791" s="85"/>
    </row>
    <row r="792" spans="10:10" ht="13" x14ac:dyDescent="0.15">
      <c r="J792" s="85"/>
    </row>
    <row r="793" spans="10:10" ht="13" x14ac:dyDescent="0.15">
      <c r="J793" s="85"/>
    </row>
    <row r="794" spans="10:10" ht="13" x14ac:dyDescent="0.15">
      <c r="J794" s="85"/>
    </row>
    <row r="795" spans="10:10" ht="13" x14ac:dyDescent="0.15">
      <c r="J795" s="85"/>
    </row>
    <row r="796" spans="10:10" ht="13" x14ac:dyDescent="0.15">
      <c r="J796" s="85"/>
    </row>
    <row r="797" spans="10:10" ht="13" x14ac:dyDescent="0.15">
      <c r="J797" s="85"/>
    </row>
    <row r="798" spans="10:10" ht="13" x14ac:dyDescent="0.15">
      <c r="J798" s="85"/>
    </row>
    <row r="799" spans="10:10" ht="13" x14ac:dyDescent="0.15">
      <c r="J799" s="85"/>
    </row>
    <row r="800" spans="10:10" ht="13" x14ac:dyDescent="0.15">
      <c r="J800" s="85"/>
    </row>
    <row r="801" spans="10:10" ht="13" x14ac:dyDescent="0.15">
      <c r="J801" s="85"/>
    </row>
    <row r="802" spans="10:10" ht="13" x14ac:dyDescent="0.15">
      <c r="J802" s="85"/>
    </row>
    <row r="803" spans="10:10" ht="13" x14ac:dyDescent="0.15">
      <c r="J803" s="85"/>
    </row>
    <row r="804" spans="10:10" ht="13" x14ac:dyDescent="0.15">
      <c r="J804" s="85"/>
    </row>
    <row r="805" spans="10:10" ht="13" x14ac:dyDescent="0.15">
      <c r="J805" s="85"/>
    </row>
    <row r="806" spans="10:10" ht="13" x14ac:dyDescent="0.15">
      <c r="J806" s="85"/>
    </row>
    <row r="807" spans="10:10" ht="13" x14ac:dyDescent="0.15">
      <c r="J807" s="85"/>
    </row>
    <row r="808" spans="10:10" ht="13" x14ac:dyDescent="0.15">
      <c r="J808" s="85"/>
    </row>
    <row r="809" spans="10:10" ht="13" x14ac:dyDescent="0.15">
      <c r="J809" s="85"/>
    </row>
    <row r="810" spans="10:10" ht="13" x14ac:dyDescent="0.15">
      <c r="J810" s="85"/>
    </row>
    <row r="811" spans="10:10" ht="13" x14ac:dyDescent="0.15">
      <c r="J811" s="85"/>
    </row>
    <row r="812" spans="10:10" ht="13" x14ac:dyDescent="0.15">
      <c r="J812" s="85"/>
    </row>
    <row r="813" spans="10:10" ht="13" x14ac:dyDescent="0.15">
      <c r="J813" s="85"/>
    </row>
    <row r="814" spans="10:10" ht="13" x14ac:dyDescent="0.15">
      <c r="J814" s="85"/>
    </row>
    <row r="815" spans="10:10" ht="13" x14ac:dyDescent="0.15">
      <c r="J815" s="85"/>
    </row>
    <row r="816" spans="10:10" ht="13" x14ac:dyDescent="0.15">
      <c r="J816" s="85"/>
    </row>
    <row r="817" spans="10:10" ht="13" x14ac:dyDescent="0.15">
      <c r="J817" s="85"/>
    </row>
    <row r="818" spans="10:10" ht="13" x14ac:dyDescent="0.15">
      <c r="J818" s="85"/>
    </row>
    <row r="819" spans="10:10" ht="13" x14ac:dyDescent="0.15">
      <c r="J819" s="85"/>
    </row>
    <row r="820" spans="10:10" ht="13" x14ac:dyDescent="0.15">
      <c r="J820" s="85"/>
    </row>
    <row r="821" spans="10:10" ht="13" x14ac:dyDescent="0.15">
      <c r="J821" s="85"/>
    </row>
    <row r="822" spans="10:10" ht="13" x14ac:dyDescent="0.15">
      <c r="J822" s="85"/>
    </row>
    <row r="823" spans="10:10" ht="13" x14ac:dyDescent="0.15">
      <c r="J823" s="85"/>
    </row>
    <row r="824" spans="10:10" ht="13" x14ac:dyDescent="0.15">
      <c r="J824" s="85"/>
    </row>
    <row r="825" spans="10:10" ht="13" x14ac:dyDescent="0.15">
      <c r="J825" s="85"/>
    </row>
    <row r="826" spans="10:10" ht="13" x14ac:dyDescent="0.15">
      <c r="J826" s="85"/>
    </row>
    <row r="827" spans="10:10" ht="13" x14ac:dyDescent="0.15">
      <c r="J827" s="85"/>
    </row>
    <row r="828" spans="10:10" ht="13" x14ac:dyDescent="0.15">
      <c r="J828" s="85"/>
    </row>
    <row r="829" spans="10:10" ht="13" x14ac:dyDescent="0.15">
      <c r="J829" s="85"/>
    </row>
    <row r="830" spans="10:10" ht="13" x14ac:dyDescent="0.15">
      <c r="J830" s="85"/>
    </row>
    <row r="831" spans="10:10" ht="13" x14ac:dyDescent="0.15">
      <c r="J831" s="85"/>
    </row>
    <row r="832" spans="10:10" ht="13" x14ac:dyDescent="0.15">
      <c r="J832" s="85"/>
    </row>
    <row r="833" spans="10:10" ht="13" x14ac:dyDescent="0.15">
      <c r="J833" s="85"/>
    </row>
    <row r="834" spans="10:10" ht="13" x14ac:dyDescent="0.15">
      <c r="J834" s="85"/>
    </row>
    <row r="835" spans="10:10" ht="13" x14ac:dyDescent="0.15">
      <c r="J835" s="85"/>
    </row>
    <row r="836" spans="10:10" ht="13" x14ac:dyDescent="0.15">
      <c r="J836" s="85"/>
    </row>
    <row r="837" spans="10:10" ht="13" x14ac:dyDescent="0.15">
      <c r="J837" s="85"/>
    </row>
    <row r="838" spans="10:10" ht="13" x14ac:dyDescent="0.15">
      <c r="J838" s="85"/>
    </row>
    <row r="839" spans="10:10" ht="13" x14ac:dyDescent="0.15">
      <c r="J839" s="85"/>
    </row>
    <row r="840" spans="10:10" ht="13" x14ac:dyDescent="0.15">
      <c r="J840" s="85"/>
    </row>
    <row r="841" spans="10:10" ht="13" x14ac:dyDescent="0.15">
      <c r="J841" s="85"/>
    </row>
    <row r="842" spans="10:10" ht="13" x14ac:dyDescent="0.15">
      <c r="J842" s="85"/>
    </row>
    <row r="843" spans="10:10" ht="13" x14ac:dyDescent="0.15">
      <c r="J843" s="85"/>
    </row>
    <row r="844" spans="10:10" ht="13" x14ac:dyDescent="0.15">
      <c r="J844" s="85"/>
    </row>
    <row r="845" spans="10:10" ht="13" x14ac:dyDescent="0.15">
      <c r="J845" s="85"/>
    </row>
    <row r="846" spans="10:10" ht="13" x14ac:dyDescent="0.15">
      <c r="J846" s="85"/>
    </row>
    <row r="847" spans="10:10" ht="13" x14ac:dyDescent="0.15">
      <c r="J847" s="85"/>
    </row>
    <row r="848" spans="10:10" ht="13" x14ac:dyDescent="0.15">
      <c r="J848" s="85"/>
    </row>
    <row r="849" spans="10:10" ht="13" x14ac:dyDescent="0.15">
      <c r="J849" s="85"/>
    </row>
    <row r="850" spans="10:10" ht="13" x14ac:dyDescent="0.15">
      <c r="J850" s="85"/>
    </row>
    <row r="851" spans="10:10" ht="13" x14ac:dyDescent="0.15">
      <c r="J851" s="85"/>
    </row>
    <row r="852" spans="10:10" ht="13" x14ac:dyDescent="0.15">
      <c r="J852" s="85"/>
    </row>
    <row r="853" spans="10:10" ht="13" x14ac:dyDescent="0.15">
      <c r="J853" s="85"/>
    </row>
    <row r="854" spans="10:10" ht="13" x14ac:dyDescent="0.15">
      <c r="J854" s="85"/>
    </row>
    <row r="855" spans="10:10" ht="13" x14ac:dyDescent="0.15">
      <c r="J855" s="85"/>
    </row>
    <row r="856" spans="10:10" ht="13" x14ac:dyDescent="0.15">
      <c r="J856" s="85"/>
    </row>
    <row r="857" spans="10:10" ht="13" x14ac:dyDescent="0.15">
      <c r="J857" s="85"/>
    </row>
    <row r="858" spans="10:10" ht="13" x14ac:dyDescent="0.15">
      <c r="J858" s="85"/>
    </row>
    <row r="859" spans="10:10" ht="13" x14ac:dyDescent="0.15">
      <c r="J859" s="85"/>
    </row>
    <row r="860" spans="10:10" ht="13" x14ac:dyDescent="0.15">
      <c r="J860" s="85"/>
    </row>
    <row r="861" spans="10:10" ht="13" x14ac:dyDescent="0.15">
      <c r="J861" s="85"/>
    </row>
    <row r="862" spans="10:10" ht="13" x14ac:dyDescent="0.15">
      <c r="J862" s="85"/>
    </row>
    <row r="863" spans="10:10" ht="13" x14ac:dyDescent="0.15">
      <c r="J863" s="85"/>
    </row>
    <row r="864" spans="10:10" ht="13" x14ac:dyDescent="0.15">
      <c r="J864" s="85"/>
    </row>
    <row r="865" spans="10:10" ht="13" x14ac:dyDescent="0.15">
      <c r="J865" s="85"/>
    </row>
    <row r="866" spans="10:10" ht="13" x14ac:dyDescent="0.15">
      <c r="J866" s="85"/>
    </row>
    <row r="867" spans="10:10" ht="13" x14ac:dyDescent="0.15">
      <c r="J867" s="85"/>
    </row>
    <row r="868" spans="10:10" ht="13" x14ac:dyDescent="0.15">
      <c r="J868" s="85"/>
    </row>
    <row r="869" spans="10:10" ht="13" x14ac:dyDescent="0.15">
      <c r="J869" s="85"/>
    </row>
    <row r="870" spans="10:10" ht="13" x14ac:dyDescent="0.15">
      <c r="J870" s="85"/>
    </row>
    <row r="871" spans="10:10" ht="13" x14ac:dyDescent="0.15">
      <c r="J871" s="85"/>
    </row>
    <row r="872" spans="10:10" ht="13" x14ac:dyDescent="0.15">
      <c r="J872" s="85"/>
    </row>
    <row r="873" spans="10:10" ht="13" x14ac:dyDescent="0.15">
      <c r="J873" s="85"/>
    </row>
    <row r="874" spans="10:10" ht="13" x14ac:dyDescent="0.15">
      <c r="J874" s="85"/>
    </row>
    <row r="875" spans="10:10" ht="13" x14ac:dyDescent="0.15">
      <c r="J875" s="85"/>
    </row>
    <row r="876" spans="10:10" ht="13" x14ac:dyDescent="0.15">
      <c r="J876" s="85"/>
    </row>
    <row r="877" spans="10:10" ht="13" x14ac:dyDescent="0.15">
      <c r="J877" s="85"/>
    </row>
    <row r="878" spans="10:10" ht="13" x14ac:dyDescent="0.15">
      <c r="J878" s="85"/>
    </row>
    <row r="879" spans="10:10" ht="13" x14ac:dyDescent="0.15">
      <c r="J879" s="85"/>
    </row>
    <row r="880" spans="10:10" ht="13" x14ac:dyDescent="0.15">
      <c r="J880" s="85"/>
    </row>
    <row r="881" spans="10:10" ht="13" x14ac:dyDescent="0.15">
      <c r="J881" s="85"/>
    </row>
    <row r="882" spans="10:10" ht="13" x14ac:dyDescent="0.15">
      <c r="J882" s="85"/>
    </row>
    <row r="883" spans="10:10" ht="13" x14ac:dyDescent="0.15">
      <c r="J883" s="85"/>
    </row>
    <row r="884" spans="10:10" ht="13" x14ac:dyDescent="0.15">
      <c r="J884" s="85"/>
    </row>
    <row r="885" spans="10:10" ht="13" x14ac:dyDescent="0.15">
      <c r="J885" s="85"/>
    </row>
    <row r="886" spans="10:10" ht="13" x14ac:dyDescent="0.15">
      <c r="J886" s="85"/>
    </row>
    <row r="887" spans="10:10" ht="13" x14ac:dyDescent="0.15">
      <c r="J887" s="85"/>
    </row>
    <row r="888" spans="10:10" ht="13" x14ac:dyDescent="0.15">
      <c r="J888" s="85"/>
    </row>
    <row r="889" spans="10:10" ht="13" x14ac:dyDescent="0.15">
      <c r="J889" s="85"/>
    </row>
    <row r="890" spans="10:10" ht="13" x14ac:dyDescent="0.15">
      <c r="J890" s="85"/>
    </row>
    <row r="891" spans="10:10" ht="13" x14ac:dyDescent="0.15">
      <c r="J891" s="85"/>
    </row>
    <row r="892" spans="10:10" ht="13" x14ac:dyDescent="0.15">
      <c r="J892" s="85"/>
    </row>
    <row r="893" spans="10:10" ht="13" x14ac:dyDescent="0.15">
      <c r="J893" s="85"/>
    </row>
    <row r="894" spans="10:10" ht="13" x14ac:dyDescent="0.15">
      <c r="J894" s="85"/>
    </row>
    <row r="895" spans="10:10" ht="13" x14ac:dyDescent="0.15">
      <c r="J895" s="85"/>
    </row>
    <row r="896" spans="10:10" ht="13" x14ac:dyDescent="0.15">
      <c r="J896" s="85"/>
    </row>
    <row r="897" spans="10:10" ht="13" x14ac:dyDescent="0.15">
      <c r="J897" s="85"/>
    </row>
    <row r="898" spans="10:10" ht="13" x14ac:dyDescent="0.15">
      <c r="J898" s="85"/>
    </row>
    <row r="899" spans="10:10" ht="13" x14ac:dyDescent="0.15">
      <c r="J899" s="85"/>
    </row>
    <row r="900" spans="10:10" ht="13" x14ac:dyDescent="0.15">
      <c r="J900" s="85"/>
    </row>
    <row r="901" spans="10:10" ht="13" x14ac:dyDescent="0.15">
      <c r="J901" s="85"/>
    </row>
    <row r="902" spans="10:10" ht="13" x14ac:dyDescent="0.15">
      <c r="J902" s="85"/>
    </row>
    <row r="903" spans="10:10" ht="13" x14ac:dyDescent="0.15">
      <c r="J903" s="85"/>
    </row>
    <row r="904" spans="10:10" ht="13" x14ac:dyDescent="0.15">
      <c r="J904" s="85"/>
    </row>
    <row r="905" spans="10:10" ht="13" x14ac:dyDescent="0.15">
      <c r="J905" s="85"/>
    </row>
    <row r="906" spans="10:10" ht="13" x14ac:dyDescent="0.15">
      <c r="J906" s="85"/>
    </row>
    <row r="907" spans="10:10" ht="13" x14ac:dyDescent="0.15">
      <c r="J907" s="85"/>
    </row>
    <row r="908" spans="10:10" ht="13" x14ac:dyDescent="0.15">
      <c r="J908" s="85"/>
    </row>
    <row r="909" spans="10:10" ht="13" x14ac:dyDescent="0.15">
      <c r="J909" s="85"/>
    </row>
    <row r="910" spans="10:10" ht="13" x14ac:dyDescent="0.15">
      <c r="J910" s="85"/>
    </row>
    <row r="911" spans="10:10" ht="13" x14ac:dyDescent="0.15">
      <c r="J911" s="85"/>
    </row>
    <row r="912" spans="10:10" ht="13" x14ac:dyDescent="0.15">
      <c r="J912" s="85"/>
    </row>
    <row r="913" spans="10:10" ht="13" x14ac:dyDescent="0.15">
      <c r="J913" s="85"/>
    </row>
    <row r="914" spans="10:10" ht="13" x14ac:dyDescent="0.15">
      <c r="J914" s="85"/>
    </row>
    <row r="915" spans="10:10" ht="13" x14ac:dyDescent="0.15">
      <c r="J915" s="85"/>
    </row>
    <row r="916" spans="10:10" ht="13" x14ac:dyDescent="0.15">
      <c r="J916" s="85"/>
    </row>
    <row r="917" spans="10:10" ht="13" x14ac:dyDescent="0.15">
      <c r="J917" s="85"/>
    </row>
    <row r="918" spans="10:10" ht="13" x14ac:dyDescent="0.15">
      <c r="J918" s="85"/>
    </row>
    <row r="919" spans="10:10" ht="13" x14ac:dyDescent="0.15">
      <c r="J919" s="85"/>
    </row>
    <row r="920" spans="10:10" ht="13" x14ac:dyDescent="0.15">
      <c r="J920" s="85"/>
    </row>
    <row r="921" spans="10:10" ht="13" x14ac:dyDescent="0.15">
      <c r="J921" s="85"/>
    </row>
    <row r="922" spans="10:10" ht="13" x14ac:dyDescent="0.15">
      <c r="J922" s="85"/>
    </row>
    <row r="923" spans="10:10" ht="13" x14ac:dyDescent="0.15">
      <c r="J923" s="85"/>
    </row>
    <row r="924" spans="10:10" ht="13" x14ac:dyDescent="0.15">
      <c r="J924" s="85"/>
    </row>
    <row r="925" spans="10:10" ht="13" x14ac:dyDescent="0.15">
      <c r="J925" s="85"/>
    </row>
    <row r="926" spans="10:10" ht="13" x14ac:dyDescent="0.15">
      <c r="J926" s="85"/>
    </row>
    <row r="927" spans="10:10" ht="13" x14ac:dyDescent="0.15">
      <c r="J927" s="85"/>
    </row>
    <row r="928" spans="10:10" ht="13" x14ac:dyDescent="0.15">
      <c r="J928" s="85"/>
    </row>
    <row r="929" spans="10:10" ht="13" x14ac:dyDescent="0.15">
      <c r="J929" s="85"/>
    </row>
    <row r="930" spans="10:10" ht="13" x14ac:dyDescent="0.15">
      <c r="J930" s="85"/>
    </row>
    <row r="931" spans="10:10" ht="13" x14ac:dyDescent="0.15">
      <c r="J931" s="85"/>
    </row>
    <row r="932" spans="10:10" ht="13" x14ac:dyDescent="0.15">
      <c r="J932" s="85"/>
    </row>
    <row r="933" spans="10:10" ht="13" x14ac:dyDescent="0.15">
      <c r="J933" s="85"/>
    </row>
    <row r="934" spans="10:10" ht="13" x14ac:dyDescent="0.15">
      <c r="J934" s="85"/>
    </row>
    <row r="935" spans="10:10" ht="13" x14ac:dyDescent="0.15">
      <c r="J935" s="85"/>
    </row>
    <row r="936" spans="10:10" ht="13" x14ac:dyDescent="0.15">
      <c r="J936" s="85"/>
    </row>
    <row r="937" spans="10:10" ht="13" x14ac:dyDescent="0.15">
      <c r="J937" s="85"/>
    </row>
    <row r="938" spans="10:10" ht="13" x14ac:dyDescent="0.15">
      <c r="J938" s="85"/>
    </row>
    <row r="939" spans="10:10" ht="13" x14ac:dyDescent="0.15">
      <c r="J939" s="85"/>
    </row>
    <row r="940" spans="10:10" ht="13" x14ac:dyDescent="0.15">
      <c r="J940" s="85"/>
    </row>
    <row r="941" spans="10:10" ht="13" x14ac:dyDescent="0.15">
      <c r="J941" s="85"/>
    </row>
    <row r="942" spans="10:10" ht="13" x14ac:dyDescent="0.15">
      <c r="J942" s="85"/>
    </row>
    <row r="943" spans="10:10" ht="13" x14ac:dyDescent="0.15">
      <c r="J943" s="85"/>
    </row>
    <row r="944" spans="10:10" ht="13" x14ac:dyDescent="0.15">
      <c r="J944" s="85"/>
    </row>
    <row r="945" spans="10:10" ht="13" x14ac:dyDescent="0.15">
      <c r="J945" s="85"/>
    </row>
    <row r="946" spans="10:10" ht="13" x14ac:dyDescent="0.15">
      <c r="J946" s="85"/>
    </row>
    <row r="947" spans="10:10" ht="13" x14ac:dyDescent="0.15">
      <c r="J947" s="85"/>
    </row>
    <row r="948" spans="10:10" ht="13" x14ac:dyDescent="0.15">
      <c r="J948" s="85"/>
    </row>
    <row r="949" spans="10:10" ht="13" x14ac:dyDescent="0.15">
      <c r="J949" s="85"/>
    </row>
    <row r="950" spans="10:10" ht="13" x14ac:dyDescent="0.15">
      <c r="J950" s="85"/>
    </row>
    <row r="951" spans="10:10" ht="13" x14ac:dyDescent="0.15">
      <c r="J951" s="85"/>
    </row>
    <row r="952" spans="10:10" ht="13" x14ac:dyDescent="0.15">
      <c r="J952" s="85"/>
    </row>
    <row r="953" spans="10:10" ht="13" x14ac:dyDescent="0.15">
      <c r="J953" s="85"/>
    </row>
    <row r="954" spans="10:10" ht="13" x14ac:dyDescent="0.15">
      <c r="J954" s="85"/>
    </row>
    <row r="955" spans="10:10" ht="13" x14ac:dyDescent="0.15">
      <c r="J955" s="85"/>
    </row>
    <row r="956" spans="10:10" ht="13" x14ac:dyDescent="0.15">
      <c r="J956" s="85"/>
    </row>
    <row r="957" spans="10:10" ht="13" x14ac:dyDescent="0.15">
      <c r="J957" s="85"/>
    </row>
    <row r="958" spans="10:10" ht="13" x14ac:dyDescent="0.15">
      <c r="J958" s="85"/>
    </row>
    <row r="959" spans="10:10" ht="13" x14ac:dyDescent="0.15">
      <c r="J959" s="85"/>
    </row>
    <row r="960" spans="10:10" ht="13" x14ac:dyDescent="0.15">
      <c r="J960" s="85"/>
    </row>
    <row r="961" spans="10:10" ht="13" x14ac:dyDescent="0.15">
      <c r="J961" s="85"/>
    </row>
    <row r="962" spans="10:10" ht="13" x14ac:dyDescent="0.15">
      <c r="J962" s="85"/>
    </row>
    <row r="963" spans="10:10" ht="13" x14ac:dyDescent="0.15">
      <c r="J963" s="85"/>
    </row>
    <row r="964" spans="10:10" ht="13" x14ac:dyDescent="0.15">
      <c r="J964" s="85"/>
    </row>
    <row r="965" spans="10:10" ht="13" x14ac:dyDescent="0.15">
      <c r="J965" s="85"/>
    </row>
    <row r="966" spans="10:10" ht="13" x14ac:dyDescent="0.15">
      <c r="J966" s="85"/>
    </row>
    <row r="967" spans="10:10" ht="13" x14ac:dyDescent="0.15">
      <c r="J967" s="85"/>
    </row>
    <row r="968" spans="10:10" ht="13" x14ac:dyDescent="0.15">
      <c r="J968" s="85"/>
    </row>
    <row r="969" spans="10:10" ht="13" x14ac:dyDescent="0.15">
      <c r="J969" s="85"/>
    </row>
    <row r="970" spans="10:10" ht="13" x14ac:dyDescent="0.15">
      <c r="J970" s="85"/>
    </row>
    <row r="971" spans="10:10" ht="13" x14ac:dyDescent="0.15">
      <c r="J971" s="85"/>
    </row>
    <row r="972" spans="10:10" ht="13" x14ac:dyDescent="0.15">
      <c r="J972" s="85"/>
    </row>
    <row r="973" spans="10:10" ht="13" x14ac:dyDescent="0.15">
      <c r="J973" s="85"/>
    </row>
    <row r="974" spans="10:10" ht="13" x14ac:dyDescent="0.15">
      <c r="J974" s="85"/>
    </row>
    <row r="975" spans="10:10" ht="13" x14ac:dyDescent="0.15">
      <c r="J975" s="85"/>
    </row>
    <row r="976" spans="10:10" ht="13" x14ac:dyDescent="0.15">
      <c r="J976" s="85"/>
    </row>
    <row r="977" spans="10:10" ht="13" x14ac:dyDescent="0.15">
      <c r="J977" s="85"/>
    </row>
    <row r="978" spans="10:10" ht="13" x14ac:dyDescent="0.15">
      <c r="J978" s="85"/>
    </row>
    <row r="979" spans="10:10" ht="13" x14ac:dyDescent="0.15">
      <c r="J979" s="85"/>
    </row>
    <row r="980" spans="10:10" ht="13" x14ac:dyDescent="0.15">
      <c r="J980" s="85"/>
    </row>
    <row r="981" spans="10:10" ht="13" x14ac:dyDescent="0.15">
      <c r="J981" s="85"/>
    </row>
    <row r="982" spans="10:10" ht="13" x14ac:dyDescent="0.15">
      <c r="J982" s="85"/>
    </row>
    <row r="983" spans="10:10" ht="13" x14ac:dyDescent="0.15">
      <c r="J983" s="85"/>
    </row>
    <row r="984" spans="10:10" ht="13" x14ac:dyDescent="0.15">
      <c r="J984" s="85"/>
    </row>
    <row r="985" spans="10:10" ht="13" x14ac:dyDescent="0.15">
      <c r="J985" s="85"/>
    </row>
    <row r="986" spans="10:10" ht="13" x14ac:dyDescent="0.15">
      <c r="J986" s="85"/>
    </row>
    <row r="987" spans="10:10" ht="13" x14ac:dyDescent="0.15">
      <c r="J987" s="85"/>
    </row>
    <row r="988" spans="10:10" ht="13" x14ac:dyDescent="0.15">
      <c r="J988" s="85"/>
    </row>
    <row r="989" spans="10:10" ht="13" x14ac:dyDescent="0.15">
      <c r="J989" s="85"/>
    </row>
    <row r="990" spans="10:10" ht="13" x14ac:dyDescent="0.15">
      <c r="J990" s="85"/>
    </row>
    <row r="991" spans="10:10" ht="13" x14ac:dyDescent="0.15">
      <c r="J991" s="85"/>
    </row>
    <row r="992" spans="10:10" ht="13" x14ac:dyDescent="0.15">
      <c r="J992" s="85"/>
    </row>
    <row r="993" spans="10:10" ht="13" x14ac:dyDescent="0.15">
      <c r="J993" s="85"/>
    </row>
    <row r="994" spans="10:10" ht="13" x14ac:dyDescent="0.15">
      <c r="J994" s="85"/>
    </row>
    <row r="995" spans="10:10" ht="13" x14ac:dyDescent="0.15">
      <c r="J995" s="85"/>
    </row>
    <row r="996" spans="10:10" ht="13" x14ac:dyDescent="0.15">
      <c r="J996" s="85"/>
    </row>
    <row r="997" spans="10:10" ht="13" x14ac:dyDescent="0.15">
      <c r="J997" s="85"/>
    </row>
    <row r="998" spans="10:10" ht="13" x14ac:dyDescent="0.15">
      <c r="J998" s="85"/>
    </row>
    <row r="999" spans="10:10" ht="13" x14ac:dyDescent="0.15">
      <c r="J999" s="85"/>
    </row>
    <row r="1000" spans="10:10" ht="13" x14ac:dyDescent="0.15">
      <c r="J1000" s="8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FF"/>
    <outlinePr summaryBelow="0" summaryRight="0"/>
  </sheetPr>
  <dimension ref="A1:Z63"/>
  <sheetViews>
    <sheetView workbookViewId="0"/>
  </sheetViews>
  <sheetFormatPr baseColWidth="10" defaultColWidth="12.6640625" defaultRowHeight="15.75" customHeight="1" x14ac:dyDescent="0.15"/>
  <cols>
    <col min="1" max="1" width="22.33203125" customWidth="1"/>
    <col min="2" max="2" width="36.33203125" customWidth="1"/>
  </cols>
  <sheetData>
    <row r="1" spans="1:13" ht="15.75" customHeight="1" x14ac:dyDescent="0.15">
      <c r="A1" s="40" t="s">
        <v>274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3" ht="15.75" customHeight="1" x14ac:dyDescent="0.1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</row>
    <row r="3" spans="1:13" ht="15.75" customHeight="1" x14ac:dyDescent="0.15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</row>
    <row r="4" spans="1:13" ht="15.75" customHeight="1" x14ac:dyDescent="0.15">
      <c r="A4" s="42" t="s">
        <v>51</v>
      </c>
      <c r="B4" s="40" t="s">
        <v>52</v>
      </c>
      <c r="C4" s="40" t="s">
        <v>53</v>
      </c>
      <c r="D4" s="40" t="s">
        <v>54</v>
      </c>
      <c r="E4" s="40" t="s">
        <v>55</v>
      </c>
      <c r="F4" s="40" t="s">
        <v>56</v>
      </c>
      <c r="G4" s="40" t="s">
        <v>57</v>
      </c>
      <c r="H4" s="40" t="s">
        <v>58</v>
      </c>
      <c r="I4" s="40" t="s">
        <v>59</v>
      </c>
      <c r="J4" s="40" t="s">
        <v>60</v>
      </c>
      <c r="K4" s="40" t="s">
        <v>61</v>
      </c>
      <c r="L4" s="3" t="s">
        <v>62</v>
      </c>
      <c r="M4" s="3" t="s">
        <v>63</v>
      </c>
    </row>
    <row r="5" spans="1:13" ht="15.75" customHeight="1" x14ac:dyDescent="0.15">
      <c r="A5" s="13"/>
      <c r="B5" s="64"/>
      <c r="C5" s="64"/>
      <c r="D5" s="64"/>
      <c r="E5" s="64"/>
      <c r="F5" s="64"/>
      <c r="G5" s="64"/>
      <c r="H5" s="64"/>
      <c r="I5" s="64"/>
      <c r="J5" s="64"/>
      <c r="K5" s="64"/>
      <c r="L5" s="6"/>
      <c r="M5" s="6"/>
    </row>
    <row r="6" spans="1:13" ht="15.75" customHeight="1" x14ac:dyDescent="0.15">
      <c r="A6" s="13"/>
      <c r="B6" s="64" t="s">
        <v>275</v>
      </c>
      <c r="C6" s="83">
        <v>4</v>
      </c>
      <c r="D6" s="83" t="s">
        <v>276</v>
      </c>
      <c r="E6" s="83" t="s">
        <v>219</v>
      </c>
      <c r="F6" s="83" t="s">
        <v>37</v>
      </c>
      <c r="G6" s="83">
        <v>10</v>
      </c>
      <c r="H6" s="66" t="s">
        <v>277</v>
      </c>
      <c r="I6" s="66" t="s">
        <v>278</v>
      </c>
      <c r="J6" s="74" t="s">
        <v>279</v>
      </c>
      <c r="K6" s="66" t="s">
        <v>279</v>
      </c>
      <c r="L6" s="116" t="s">
        <v>280</v>
      </c>
      <c r="M6" s="116" t="s">
        <v>280</v>
      </c>
    </row>
    <row r="7" spans="1:13" ht="15.75" customHeight="1" x14ac:dyDescent="0.15">
      <c r="A7" s="13"/>
      <c r="B7" s="64" t="s">
        <v>281</v>
      </c>
      <c r="C7" s="83">
        <v>3</v>
      </c>
      <c r="D7" s="117">
        <v>40461</v>
      </c>
      <c r="E7" s="83" t="s">
        <v>68</v>
      </c>
      <c r="F7" s="83" t="s">
        <v>37</v>
      </c>
      <c r="G7" s="83">
        <v>10</v>
      </c>
      <c r="H7" s="66">
        <v>26</v>
      </c>
      <c r="I7" s="118">
        <v>28</v>
      </c>
      <c r="J7" s="66">
        <v>28</v>
      </c>
      <c r="K7" s="74">
        <v>30</v>
      </c>
      <c r="L7" s="120">
        <v>30</v>
      </c>
      <c r="M7" s="120">
        <v>30</v>
      </c>
    </row>
    <row r="8" spans="1:13" ht="15.75" customHeight="1" x14ac:dyDescent="0.15">
      <c r="A8" s="13"/>
      <c r="B8" s="64" t="s">
        <v>282</v>
      </c>
      <c r="C8" s="83">
        <v>3</v>
      </c>
      <c r="D8" s="83" t="s">
        <v>71</v>
      </c>
      <c r="E8" s="83" t="s">
        <v>66</v>
      </c>
      <c r="F8" s="83" t="s">
        <v>37</v>
      </c>
      <c r="G8" s="83">
        <v>10</v>
      </c>
      <c r="H8" s="74">
        <v>20</v>
      </c>
      <c r="I8" s="118">
        <v>18</v>
      </c>
      <c r="J8" s="66">
        <v>18</v>
      </c>
      <c r="K8" s="66">
        <v>18</v>
      </c>
      <c r="L8" s="116">
        <v>20</v>
      </c>
      <c r="M8" s="116">
        <v>20</v>
      </c>
    </row>
    <row r="9" spans="1:13" ht="15.75" customHeight="1" x14ac:dyDescent="0.15">
      <c r="A9" s="13"/>
      <c r="B9" s="64" t="s">
        <v>283</v>
      </c>
      <c r="C9" s="83">
        <v>4</v>
      </c>
      <c r="D9" s="83" t="s">
        <v>276</v>
      </c>
      <c r="E9" s="45" t="s">
        <v>66</v>
      </c>
      <c r="F9" s="45" t="s">
        <v>37</v>
      </c>
      <c r="G9" s="45">
        <v>10</v>
      </c>
      <c r="H9" s="66" t="s">
        <v>284</v>
      </c>
      <c r="I9" s="118" t="s">
        <v>285</v>
      </c>
      <c r="J9" s="121" t="s">
        <v>286</v>
      </c>
      <c r="K9" s="66" t="s">
        <v>287</v>
      </c>
      <c r="L9" s="120" t="s">
        <v>288</v>
      </c>
      <c r="M9" s="120" t="s">
        <v>288</v>
      </c>
    </row>
    <row r="10" spans="1:13" ht="15.75" customHeight="1" x14ac:dyDescent="0.15">
      <c r="A10" s="13"/>
      <c r="B10" s="64" t="s">
        <v>289</v>
      </c>
      <c r="C10" s="83">
        <v>3</v>
      </c>
      <c r="D10" s="117">
        <v>40461</v>
      </c>
      <c r="E10" s="83" t="s">
        <v>68</v>
      </c>
      <c r="F10" s="83" t="s">
        <v>37</v>
      </c>
      <c r="G10" s="83">
        <v>10</v>
      </c>
      <c r="H10" s="66">
        <v>45</v>
      </c>
      <c r="I10" s="66">
        <v>50</v>
      </c>
      <c r="J10" s="48">
        <v>52.5</v>
      </c>
      <c r="K10" s="118">
        <v>40</v>
      </c>
      <c r="L10" s="120">
        <v>40</v>
      </c>
      <c r="M10" s="120">
        <v>40</v>
      </c>
    </row>
    <row r="11" spans="1:13" ht="15.75" customHeight="1" x14ac:dyDescent="0.15">
      <c r="A11" s="25"/>
      <c r="B11" s="64" t="s">
        <v>290</v>
      </c>
      <c r="C11" s="83">
        <v>3</v>
      </c>
      <c r="D11" s="83" t="s">
        <v>71</v>
      </c>
      <c r="E11" s="83" t="s">
        <v>66</v>
      </c>
      <c r="F11" s="83" t="s">
        <v>37</v>
      </c>
      <c r="G11" s="83">
        <v>10</v>
      </c>
      <c r="H11" s="66">
        <v>30</v>
      </c>
      <c r="I11" s="66">
        <v>25</v>
      </c>
      <c r="J11" s="66">
        <v>27.5</v>
      </c>
      <c r="K11" s="74">
        <v>30</v>
      </c>
      <c r="L11" s="120">
        <v>27</v>
      </c>
      <c r="M11" s="120">
        <v>27</v>
      </c>
    </row>
    <row r="12" spans="1:13" ht="15.75" customHeight="1" x14ac:dyDescent="0.15">
      <c r="A12" s="25"/>
      <c r="B12" s="25"/>
      <c r="C12" s="25"/>
      <c r="D12" s="25"/>
      <c r="E12" s="25"/>
      <c r="F12" s="25"/>
      <c r="G12" s="25"/>
      <c r="H12" s="25"/>
      <c r="I12" s="25"/>
      <c r="K12" s="25"/>
    </row>
    <row r="13" spans="1:13" ht="15.75" customHeight="1" x14ac:dyDescent="0.1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</row>
    <row r="14" spans="1:13" ht="15.75" customHeight="1" x14ac:dyDescent="0.15">
      <c r="A14" s="40" t="s">
        <v>76</v>
      </c>
      <c r="B14" s="40" t="s">
        <v>52</v>
      </c>
      <c r="C14" s="40" t="s">
        <v>53</v>
      </c>
      <c r="D14" s="40" t="s">
        <v>54</v>
      </c>
      <c r="E14" s="40" t="s">
        <v>55</v>
      </c>
      <c r="F14" s="40" t="s">
        <v>56</v>
      </c>
      <c r="G14" s="40" t="s">
        <v>57</v>
      </c>
      <c r="H14" s="40" t="s">
        <v>58</v>
      </c>
      <c r="I14" s="40" t="s">
        <v>59</v>
      </c>
      <c r="J14" s="40" t="s">
        <v>60</v>
      </c>
      <c r="K14" s="40" t="s">
        <v>61</v>
      </c>
      <c r="L14" s="3" t="s">
        <v>62</v>
      </c>
      <c r="M14" s="3" t="s">
        <v>63</v>
      </c>
    </row>
    <row r="15" spans="1:13" ht="15.75" customHeight="1" x14ac:dyDescent="0.15">
      <c r="A15" s="13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6"/>
      <c r="M15" s="6"/>
    </row>
    <row r="16" spans="1:13" ht="15.75" customHeight="1" x14ac:dyDescent="0.15">
      <c r="A16" s="13"/>
      <c r="B16" s="44" t="s">
        <v>291</v>
      </c>
      <c r="C16" s="83">
        <v>4</v>
      </c>
      <c r="D16" s="83" t="s">
        <v>276</v>
      </c>
      <c r="E16" s="83" t="s">
        <v>219</v>
      </c>
      <c r="F16" s="45" t="s">
        <v>37</v>
      </c>
      <c r="G16" s="45">
        <v>10</v>
      </c>
      <c r="H16" s="47" t="s">
        <v>292</v>
      </c>
      <c r="I16" s="47" t="s">
        <v>293</v>
      </c>
      <c r="J16" s="125" t="s">
        <v>294</v>
      </c>
      <c r="K16" s="47" t="s">
        <v>294</v>
      </c>
      <c r="L16" s="120">
        <v>47.5</v>
      </c>
      <c r="M16" s="120">
        <v>47.5</v>
      </c>
    </row>
    <row r="17" spans="1:13" ht="15.75" customHeight="1" x14ac:dyDescent="0.15">
      <c r="A17" s="13"/>
      <c r="B17" s="64" t="s">
        <v>295</v>
      </c>
      <c r="C17" s="83">
        <v>3</v>
      </c>
      <c r="D17" s="117">
        <v>40461</v>
      </c>
      <c r="E17" s="83" t="s">
        <v>68</v>
      </c>
      <c r="F17" s="45" t="s">
        <v>37</v>
      </c>
      <c r="G17" s="45">
        <v>10</v>
      </c>
      <c r="H17" s="48">
        <v>26</v>
      </c>
      <c r="I17" s="47">
        <v>26</v>
      </c>
      <c r="J17" s="48">
        <v>28</v>
      </c>
      <c r="K17" s="125">
        <v>28</v>
      </c>
      <c r="L17" s="120">
        <v>28</v>
      </c>
      <c r="M17" s="120">
        <v>28</v>
      </c>
    </row>
    <row r="18" spans="1:13" ht="15.75" customHeight="1" x14ac:dyDescent="0.15">
      <c r="A18" s="13"/>
      <c r="B18" s="64" t="s">
        <v>79</v>
      </c>
      <c r="C18" s="83">
        <v>3</v>
      </c>
      <c r="D18" s="83" t="s">
        <v>71</v>
      </c>
      <c r="E18" s="83" t="s">
        <v>66</v>
      </c>
      <c r="F18" s="45" t="s">
        <v>37</v>
      </c>
      <c r="G18" s="45">
        <v>10</v>
      </c>
      <c r="H18" s="74">
        <v>12</v>
      </c>
      <c r="I18" s="47">
        <v>10</v>
      </c>
      <c r="J18" s="125">
        <v>12</v>
      </c>
      <c r="K18" s="47">
        <v>12</v>
      </c>
      <c r="L18" s="126">
        <v>14</v>
      </c>
      <c r="M18" s="126">
        <v>14</v>
      </c>
    </row>
    <row r="19" spans="1:13" ht="15.75" customHeight="1" x14ac:dyDescent="0.15">
      <c r="A19" s="13"/>
      <c r="B19" s="64" t="s">
        <v>296</v>
      </c>
      <c r="C19" s="83">
        <v>3</v>
      </c>
      <c r="D19" s="117">
        <v>40461</v>
      </c>
      <c r="E19" s="83" t="s">
        <v>68</v>
      </c>
      <c r="F19" s="45" t="s">
        <v>37</v>
      </c>
      <c r="G19" s="45">
        <v>10</v>
      </c>
      <c r="H19" s="47">
        <v>7.5</v>
      </c>
      <c r="I19" s="48">
        <v>9</v>
      </c>
      <c r="J19" s="48">
        <v>9</v>
      </c>
      <c r="K19" s="125">
        <v>15</v>
      </c>
      <c r="L19" s="120">
        <v>15</v>
      </c>
      <c r="M19" s="120">
        <v>15</v>
      </c>
    </row>
    <row r="20" spans="1:13" ht="15.75" customHeight="1" x14ac:dyDescent="0.15">
      <c r="A20" s="13"/>
      <c r="B20" s="64" t="s">
        <v>297</v>
      </c>
      <c r="C20" s="83">
        <v>3</v>
      </c>
      <c r="D20" s="83" t="s">
        <v>71</v>
      </c>
      <c r="E20" s="83" t="s">
        <v>66</v>
      </c>
      <c r="F20" s="45" t="s">
        <v>37</v>
      </c>
      <c r="G20" s="45">
        <v>10</v>
      </c>
      <c r="H20" s="48">
        <v>6</v>
      </c>
      <c r="I20" s="47">
        <v>6</v>
      </c>
      <c r="J20" s="48">
        <v>8</v>
      </c>
      <c r="K20" s="47">
        <v>8</v>
      </c>
      <c r="L20" s="126">
        <v>10</v>
      </c>
      <c r="M20" s="126">
        <v>10</v>
      </c>
    </row>
    <row r="21" spans="1:13" ht="15.75" customHeight="1" x14ac:dyDescent="0.15">
      <c r="A21" s="25"/>
      <c r="B21" s="64" t="s">
        <v>298</v>
      </c>
      <c r="C21" s="83">
        <v>3</v>
      </c>
      <c r="D21" s="117">
        <v>40461</v>
      </c>
      <c r="E21" s="83" t="s">
        <v>68</v>
      </c>
      <c r="F21" s="45" t="s">
        <v>37</v>
      </c>
      <c r="G21" s="45">
        <v>10</v>
      </c>
      <c r="H21" s="47">
        <v>11</v>
      </c>
      <c r="I21" s="47">
        <v>13</v>
      </c>
      <c r="J21" s="125">
        <v>13</v>
      </c>
      <c r="K21" s="125">
        <v>13</v>
      </c>
      <c r="L21" s="120">
        <v>12.5</v>
      </c>
      <c r="M21" s="120">
        <v>12.5</v>
      </c>
    </row>
    <row r="22" spans="1:13" ht="15.75" customHeight="1" x14ac:dyDescent="0.15">
      <c r="A22" s="25"/>
      <c r="B22" s="64" t="s">
        <v>299</v>
      </c>
      <c r="C22" s="83">
        <v>3</v>
      </c>
      <c r="D22" s="83" t="s">
        <v>71</v>
      </c>
      <c r="E22" s="83" t="s">
        <v>66</v>
      </c>
      <c r="F22" s="45" t="s">
        <v>37</v>
      </c>
      <c r="G22" s="45">
        <v>10</v>
      </c>
      <c r="H22" s="47">
        <v>12</v>
      </c>
      <c r="I22" s="48">
        <v>14</v>
      </c>
      <c r="J22" s="47">
        <v>14</v>
      </c>
      <c r="K22" s="48">
        <v>16</v>
      </c>
      <c r="L22" s="126">
        <v>16</v>
      </c>
      <c r="M22" s="126">
        <v>16</v>
      </c>
    </row>
    <row r="23" spans="1:13" ht="15.75" customHeight="1" x14ac:dyDescent="0.15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</row>
    <row r="24" spans="1:13" ht="15.75" customHeight="1" x14ac:dyDescent="0.15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</row>
    <row r="25" spans="1:13" ht="15.75" customHeight="1" x14ac:dyDescent="0.15">
      <c r="A25" s="40" t="s">
        <v>86</v>
      </c>
      <c r="B25" s="40" t="s">
        <v>52</v>
      </c>
      <c r="C25" s="40" t="s">
        <v>53</v>
      </c>
      <c r="D25" s="40" t="s">
        <v>54</v>
      </c>
      <c r="E25" s="40" t="s">
        <v>55</v>
      </c>
      <c r="F25" s="40" t="s">
        <v>56</v>
      </c>
      <c r="G25" s="40" t="s">
        <v>57</v>
      </c>
      <c r="H25" s="40" t="s">
        <v>58</v>
      </c>
      <c r="I25" s="40" t="s">
        <v>59</v>
      </c>
      <c r="J25" s="40" t="s">
        <v>60</v>
      </c>
      <c r="K25" s="40" t="s">
        <v>61</v>
      </c>
      <c r="L25" s="3" t="s">
        <v>62</v>
      </c>
      <c r="M25" s="3" t="s">
        <v>63</v>
      </c>
    </row>
    <row r="26" spans="1:13" ht="15.75" customHeight="1" x14ac:dyDescent="0.15">
      <c r="A26" s="13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"/>
      <c r="M26" s="6"/>
    </row>
    <row r="27" spans="1:13" ht="15.75" customHeight="1" x14ac:dyDescent="0.15">
      <c r="A27" s="13"/>
      <c r="B27" s="64" t="s">
        <v>151</v>
      </c>
      <c r="C27" s="83">
        <v>4</v>
      </c>
      <c r="D27" s="83" t="s">
        <v>276</v>
      </c>
      <c r="E27" s="83" t="s">
        <v>219</v>
      </c>
      <c r="F27" s="83" t="s">
        <v>37</v>
      </c>
      <c r="G27" s="83">
        <v>10</v>
      </c>
      <c r="H27" s="66" t="s">
        <v>300</v>
      </c>
      <c r="I27" s="66" t="s">
        <v>300</v>
      </c>
      <c r="J27" s="66" t="s">
        <v>301</v>
      </c>
      <c r="K27" s="74" t="s">
        <v>302</v>
      </c>
      <c r="L27" s="6"/>
      <c r="M27" s="6"/>
    </row>
    <row r="28" spans="1:13" ht="15.75" customHeight="1" x14ac:dyDescent="0.15">
      <c r="A28" s="13"/>
      <c r="B28" s="64" t="s">
        <v>303</v>
      </c>
      <c r="C28" s="83">
        <v>3</v>
      </c>
      <c r="D28" s="117">
        <v>40461</v>
      </c>
      <c r="E28" s="83" t="s">
        <v>68</v>
      </c>
      <c r="F28" s="83" t="s">
        <v>37</v>
      </c>
      <c r="G28" s="83">
        <v>10</v>
      </c>
      <c r="H28" s="66">
        <v>14</v>
      </c>
      <c r="I28" s="74">
        <v>16</v>
      </c>
      <c r="J28" s="74">
        <v>16</v>
      </c>
      <c r="K28" s="66">
        <v>26</v>
      </c>
      <c r="L28" s="6"/>
      <c r="M28" s="6"/>
    </row>
    <row r="29" spans="1:13" ht="15.75" customHeight="1" x14ac:dyDescent="0.15">
      <c r="A29" s="13"/>
      <c r="B29" s="64" t="s">
        <v>89</v>
      </c>
      <c r="C29" s="83">
        <v>3</v>
      </c>
      <c r="D29" s="83" t="s">
        <v>71</v>
      </c>
      <c r="E29" s="83" t="s">
        <v>66</v>
      </c>
      <c r="F29" s="83" t="s">
        <v>37</v>
      </c>
      <c r="G29" s="83">
        <v>10</v>
      </c>
      <c r="H29" s="66">
        <v>47.5</v>
      </c>
      <c r="I29" s="74">
        <v>40</v>
      </c>
      <c r="J29" s="74">
        <v>42.5</v>
      </c>
      <c r="K29" s="74">
        <v>42.5</v>
      </c>
      <c r="L29" s="6"/>
      <c r="M29" s="6"/>
    </row>
    <row r="30" spans="1:13" ht="15.75" customHeight="1" x14ac:dyDescent="0.15">
      <c r="A30" s="13"/>
      <c r="B30" s="64" t="s">
        <v>304</v>
      </c>
      <c r="C30" s="83">
        <v>3</v>
      </c>
      <c r="D30" s="117">
        <v>40461</v>
      </c>
      <c r="E30" s="83" t="s">
        <v>68</v>
      </c>
      <c r="F30" s="83" t="s">
        <v>37</v>
      </c>
      <c r="G30" s="83">
        <v>10</v>
      </c>
      <c r="H30" s="66">
        <v>15</v>
      </c>
      <c r="I30" s="66">
        <v>17.5</v>
      </c>
      <c r="J30" s="66">
        <v>20</v>
      </c>
      <c r="K30" s="74">
        <v>22.5</v>
      </c>
      <c r="L30" s="6"/>
      <c r="M30" s="6"/>
    </row>
    <row r="31" spans="1:13" ht="15.75" customHeight="1" x14ac:dyDescent="0.15">
      <c r="A31" s="13"/>
      <c r="B31" s="64" t="s">
        <v>305</v>
      </c>
      <c r="C31" s="83">
        <v>3</v>
      </c>
      <c r="D31" s="83" t="s">
        <v>71</v>
      </c>
      <c r="E31" s="83" t="s">
        <v>66</v>
      </c>
      <c r="F31" s="83" t="s">
        <v>37</v>
      </c>
      <c r="G31" s="83">
        <v>10</v>
      </c>
      <c r="H31" s="66">
        <v>50</v>
      </c>
      <c r="I31" s="66">
        <v>60</v>
      </c>
      <c r="J31" s="74">
        <v>70</v>
      </c>
      <c r="K31" s="66">
        <v>70</v>
      </c>
      <c r="L31" s="6"/>
      <c r="M31" s="6"/>
    </row>
    <row r="32" spans="1:13" ht="15.75" customHeight="1" x14ac:dyDescent="0.15">
      <c r="A32" s="13"/>
      <c r="B32" s="64" t="s">
        <v>306</v>
      </c>
      <c r="C32" s="83">
        <v>4</v>
      </c>
      <c r="D32" s="83" t="s">
        <v>97</v>
      </c>
      <c r="E32" s="83" t="s">
        <v>72</v>
      </c>
      <c r="F32" s="83" t="s">
        <v>37</v>
      </c>
      <c r="G32" s="81">
        <v>10</v>
      </c>
      <c r="H32" s="64"/>
      <c r="I32" s="66">
        <v>25</v>
      </c>
      <c r="J32" s="66">
        <v>25</v>
      </c>
      <c r="K32" s="64"/>
      <c r="L32" s="6"/>
      <c r="M32" s="6"/>
    </row>
    <row r="33" spans="1:26" ht="15.75" customHeight="1" x14ac:dyDescent="0.15">
      <c r="A33" s="25"/>
      <c r="B33" s="34"/>
      <c r="C33" s="34"/>
      <c r="D33" s="34"/>
      <c r="E33" s="34"/>
      <c r="F33" s="34"/>
      <c r="G33" s="34"/>
      <c r="H33" s="34"/>
      <c r="I33" s="34"/>
      <c r="J33" s="34"/>
      <c r="K33" s="34"/>
    </row>
    <row r="34" spans="1:26" ht="15.75" customHeight="1" x14ac:dyDescent="0.15">
      <c r="A34" s="25"/>
      <c r="B34" s="34"/>
      <c r="C34" s="34"/>
      <c r="D34" s="34"/>
      <c r="E34" s="34"/>
      <c r="F34" s="34"/>
      <c r="G34" s="34"/>
      <c r="H34" s="34"/>
      <c r="I34" s="34"/>
      <c r="J34" s="34"/>
      <c r="K34" s="34"/>
    </row>
    <row r="35" spans="1:26" ht="15.75" customHeight="1" x14ac:dyDescent="0.15">
      <c r="A35" s="40" t="s">
        <v>96</v>
      </c>
      <c r="B35" s="40" t="s">
        <v>52</v>
      </c>
      <c r="C35" s="40" t="s">
        <v>53</v>
      </c>
      <c r="D35" s="40" t="s">
        <v>54</v>
      </c>
      <c r="E35" s="40" t="s">
        <v>55</v>
      </c>
      <c r="F35" s="40" t="s">
        <v>56</v>
      </c>
      <c r="G35" s="40" t="s">
        <v>57</v>
      </c>
      <c r="H35" s="40" t="s">
        <v>58</v>
      </c>
      <c r="I35" s="40" t="s">
        <v>59</v>
      </c>
      <c r="J35" s="40" t="s">
        <v>60</v>
      </c>
      <c r="K35" s="40" t="s">
        <v>61</v>
      </c>
      <c r="L35" s="3" t="s">
        <v>62</v>
      </c>
      <c r="M35" s="3" t="s">
        <v>63</v>
      </c>
    </row>
    <row r="36" spans="1:26" ht="15.75" customHeight="1" x14ac:dyDescent="0.15">
      <c r="A36" s="13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"/>
      <c r="M36" s="6"/>
    </row>
    <row r="37" spans="1:26" ht="15.75" customHeight="1" x14ac:dyDescent="0.15">
      <c r="A37" s="13"/>
      <c r="B37" s="127" t="s">
        <v>275</v>
      </c>
      <c r="C37" s="83">
        <v>4</v>
      </c>
      <c r="D37" s="83" t="s">
        <v>307</v>
      </c>
      <c r="E37" s="83" t="s">
        <v>219</v>
      </c>
      <c r="F37" s="83" t="s">
        <v>37</v>
      </c>
      <c r="G37" s="83">
        <v>10</v>
      </c>
      <c r="H37" s="66" t="s">
        <v>308</v>
      </c>
      <c r="I37" s="66" t="s">
        <v>309</v>
      </c>
      <c r="J37" s="74" t="s">
        <v>310</v>
      </c>
      <c r="K37" s="66" t="s">
        <v>310</v>
      </c>
      <c r="L37" s="116" t="s">
        <v>311</v>
      </c>
      <c r="M37" s="116" t="s">
        <v>311</v>
      </c>
    </row>
    <row r="38" spans="1:26" ht="15.75" customHeight="1" x14ac:dyDescent="0.15">
      <c r="A38" s="13"/>
      <c r="B38" s="127" t="s">
        <v>281</v>
      </c>
      <c r="C38" s="83">
        <v>3</v>
      </c>
      <c r="D38" s="117">
        <v>41255</v>
      </c>
      <c r="E38" s="83" t="s">
        <v>68</v>
      </c>
      <c r="F38" s="83" t="s">
        <v>37</v>
      </c>
      <c r="G38" s="83">
        <v>10</v>
      </c>
      <c r="H38" s="66">
        <v>26</v>
      </c>
      <c r="I38" s="74">
        <v>28</v>
      </c>
      <c r="J38" s="66">
        <v>28</v>
      </c>
      <c r="K38" s="74">
        <v>30</v>
      </c>
      <c r="L38" s="126">
        <v>30</v>
      </c>
      <c r="M38" s="126">
        <v>30</v>
      </c>
    </row>
    <row r="39" spans="1:26" ht="15.75" customHeight="1" x14ac:dyDescent="0.15">
      <c r="A39" s="128"/>
      <c r="B39" s="127" t="s">
        <v>282</v>
      </c>
      <c r="C39" s="83">
        <v>3</v>
      </c>
      <c r="D39" s="83" t="s">
        <v>312</v>
      </c>
      <c r="E39" s="83" t="s">
        <v>66</v>
      </c>
      <c r="F39" s="83" t="s">
        <v>37</v>
      </c>
      <c r="G39" s="83">
        <v>10</v>
      </c>
      <c r="H39" s="73">
        <v>16</v>
      </c>
      <c r="I39" s="75">
        <v>16</v>
      </c>
      <c r="J39" s="129">
        <v>16</v>
      </c>
      <c r="K39" s="129">
        <v>16</v>
      </c>
      <c r="L39" s="130">
        <v>16</v>
      </c>
      <c r="M39" s="130">
        <v>16</v>
      </c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1:26" ht="15.75" customHeight="1" x14ac:dyDescent="0.15">
      <c r="A40" s="13"/>
      <c r="B40" s="127" t="s">
        <v>283</v>
      </c>
      <c r="C40" s="83">
        <v>4</v>
      </c>
      <c r="D40" s="83" t="s">
        <v>307</v>
      </c>
      <c r="E40" s="45" t="s">
        <v>66</v>
      </c>
      <c r="F40" s="45" t="s">
        <v>37</v>
      </c>
      <c r="G40" s="45">
        <v>10</v>
      </c>
      <c r="H40" s="74" t="s">
        <v>308</v>
      </c>
      <c r="I40" s="74" t="s">
        <v>308</v>
      </c>
      <c r="J40" s="118" t="s">
        <v>308</v>
      </c>
      <c r="K40" s="118" t="s">
        <v>313</v>
      </c>
      <c r="L40" s="126" t="s">
        <v>308</v>
      </c>
      <c r="M40" s="126" t="s">
        <v>308</v>
      </c>
    </row>
    <row r="41" spans="1:26" ht="15.75" customHeight="1" x14ac:dyDescent="0.15">
      <c r="A41" s="13"/>
      <c r="B41" s="127" t="s">
        <v>289</v>
      </c>
      <c r="C41" s="83">
        <v>3</v>
      </c>
      <c r="D41" s="117">
        <v>41255</v>
      </c>
      <c r="E41" s="83" t="s">
        <v>68</v>
      </c>
      <c r="F41" s="83" t="s">
        <v>37</v>
      </c>
      <c r="G41" s="83">
        <v>10</v>
      </c>
      <c r="H41" s="66">
        <v>45</v>
      </c>
      <c r="I41" s="74">
        <v>50</v>
      </c>
      <c r="J41" s="47">
        <v>55</v>
      </c>
      <c r="K41" s="64"/>
      <c r="L41" s="6">
        <v>40</v>
      </c>
      <c r="M41" s="6">
        <v>40</v>
      </c>
    </row>
    <row r="42" spans="1:26" ht="15.75" customHeight="1" x14ac:dyDescent="0.15">
      <c r="A42" s="25"/>
      <c r="B42" s="127" t="s">
        <v>290</v>
      </c>
      <c r="C42" s="83">
        <v>3</v>
      </c>
      <c r="D42" s="83" t="s">
        <v>312</v>
      </c>
      <c r="E42" s="83" t="s">
        <v>66</v>
      </c>
      <c r="F42" s="83" t="s">
        <v>37</v>
      </c>
      <c r="G42" s="83">
        <v>10</v>
      </c>
      <c r="H42" s="66">
        <v>24</v>
      </c>
      <c r="I42" s="74">
        <v>25</v>
      </c>
      <c r="J42" s="66">
        <v>25</v>
      </c>
      <c r="K42" s="64"/>
      <c r="L42" s="6">
        <v>27</v>
      </c>
      <c r="M42" s="6">
        <v>27</v>
      </c>
    </row>
    <row r="43" spans="1:26" ht="15.75" customHeight="1" x14ac:dyDescent="0.1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</row>
    <row r="44" spans="1:26" ht="15.75" customHeight="1" x14ac:dyDescent="0.1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</row>
    <row r="45" spans="1:26" ht="15.75" customHeight="1" x14ac:dyDescent="0.15">
      <c r="A45" s="40" t="s">
        <v>113</v>
      </c>
      <c r="B45" s="40" t="s">
        <v>52</v>
      </c>
      <c r="C45" s="40" t="s">
        <v>53</v>
      </c>
      <c r="D45" s="40" t="s">
        <v>54</v>
      </c>
      <c r="E45" s="40" t="s">
        <v>55</v>
      </c>
      <c r="F45" s="40" t="s">
        <v>56</v>
      </c>
      <c r="G45" s="40" t="s">
        <v>57</v>
      </c>
      <c r="H45" s="40" t="s">
        <v>58</v>
      </c>
      <c r="I45" s="40" t="s">
        <v>59</v>
      </c>
      <c r="J45" s="40" t="s">
        <v>60</v>
      </c>
      <c r="K45" s="40" t="s">
        <v>61</v>
      </c>
      <c r="L45" s="3" t="s">
        <v>62</v>
      </c>
      <c r="M45" s="3" t="s">
        <v>63</v>
      </c>
    </row>
    <row r="46" spans="1:26" ht="13" x14ac:dyDescent="0.15">
      <c r="A46" s="13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6"/>
      <c r="M46" s="6"/>
    </row>
    <row r="47" spans="1:26" ht="13" x14ac:dyDescent="0.15">
      <c r="A47" s="13"/>
      <c r="B47" s="44" t="s">
        <v>291</v>
      </c>
      <c r="C47" s="83">
        <v>4</v>
      </c>
      <c r="D47" s="83" t="s">
        <v>307</v>
      </c>
      <c r="E47" s="83" t="s">
        <v>219</v>
      </c>
      <c r="F47" s="45" t="s">
        <v>37</v>
      </c>
      <c r="G47" s="45">
        <v>10</v>
      </c>
      <c r="H47" s="65" t="s">
        <v>314</v>
      </c>
      <c r="I47" s="47" t="s">
        <v>279</v>
      </c>
      <c r="J47" s="48" t="s">
        <v>315</v>
      </c>
      <c r="K47" s="47">
        <v>60</v>
      </c>
      <c r="L47" s="116" t="s">
        <v>316</v>
      </c>
      <c r="M47" s="116" t="s">
        <v>316</v>
      </c>
    </row>
    <row r="48" spans="1:26" ht="13" x14ac:dyDescent="0.15">
      <c r="A48" s="13"/>
      <c r="B48" s="64" t="s">
        <v>295</v>
      </c>
      <c r="C48" s="83">
        <v>3</v>
      </c>
      <c r="D48" s="117">
        <v>41255</v>
      </c>
      <c r="E48" s="83" t="s">
        <v>68</v>
      </c>
      <c r="F48" s="45" t="s">
        <v>37</v>
      </c>
      <c r="G48" s="45">
        <v>10</v>
      </c>
      <c r="H48" s="47">
        <v>24</v>
      </c>
      <c r="I48" s="48">
        <v>26</v>
      </c>
      <c r="J48" s="125">
        <v>26</v>
      </c>
      <c r="K48" s="125">
        <v>26</v>
      </c>
      <c r="L48" s="126">
        <v>26</v>
      </c>
      <c r="M48" s="126">
        <v>26</v>
      </c>
    </row>
    <row r="49" spans="1:13" ht="13" x14ac:dyDescent="0.15">
      <c r="A49" s="13"/>
      <c r="B49" s="64" t="s">
        <v>79</v>
      </c>
      <c r="C49" s="83">
        <v>3</v>
      </c>
      <c r="D49" s="83" t="s">
        <v>312</v>
      </c>
      <c r="E49" s="83" t="s">
        <v>66</v>
      </c>
      <c r="F49" s="45" t="s">
        <v>37</v>
      </c>
      <c r="G49" s="45">
        <v>10</v>
      </c>
      <c r="H49" s="66">
        <v>8</v>
      </c>
      <c r="I49" s="48">
        <v>10</v>
      </c>
      <c r="J49" s="125">
        <v>10</v>
      </c>
      <c r="K49" s="47">
        <v>10</v>
      </c>
      <c r="L49" s="116">
        <v>12</v>
      </c>
      <c r="M49" s="116">
        <v>12</v>
      </c>
    </row>
    <row r="50" spans="1:13" ht="13" x14ac:dyDescent="0.15">
      <c r="A50" s="13"/>
      <c r="B50" s="64" t="s">
        <v>296</v>
      </c>
      <c r="C50" s="83">
        <v>3</v>
      </c>
      <c r="D50" s="117">
        <v>41255</v>
      </c>
      <c r="E50" s="83" t="s">
        <v>68</v>
      </c>
      <c r="F50" s="45" t="s">
        <v>37</v>
      </c>
      <c r="G50" s="45">
        <v>10</v>
      </c>
      <c r="H50" s="47">
        <v>9</v>
      </c>
      <c r="I50" s="47">
        <v>9</v>
      </c>
      <c r="J50" s="125">
        <v>9</v>
      </c>
      <c r="K50" s="47">
        <v>15</v>
      </c>
      <c r="L50" s="116">
        <v>17.5</v>
      </c>
      <c r="M50" s="116">
        <v>17.5</v>
      </c>
    </row>
    <row r="51" spans="1:13" ht="13" x14ac:dyDescent="0.15">
      <c r="A51" s="13"/>
      <c r="B51" s="64" t="s">
        <v>297</v>
      </c>
      <c r="C51" s="83">
        <v>3</v>
      </c>
      <c r="D51" s="83" t="s">
        <v>312</v>
      </c>
      <c r="E51" s="83" t="s">
        <v>66</v>
      </c>
      <c r="F51" s="45" t="s">
        <v>37</v>
      </c>
      <c r="G51" s="45">
        <v>10</v>
      </c>
      <c r="H51" s="47">
        <v>5</v>
      </c>
      <c r="I51" s="48">
        <v>6</v>
      </c>
      <c r="J51" s="47">
        <v>6</v>
      </c>
      <c r="K51" s="47">
        <v>8</v>
      </c>
      <c r="L51" s="116">
        <v>10</v>
      </c>
      <c r="M51" s="116">
        <v>10</v>
      </c>
    </row>
    <row r="52" spans="1:13" ht="13" x14ac:dyDescent="0.15">
      <c r="A52" s="25"/>
      <c r="B52" s="64" t="s">
        <v>298</v>
      </c>
      <c r="C52" s="83">
        <v>3</v>
      </c>
      <c r="D52" s="117">
        <v>41255</v>
      </c>
      <c r="E52" s="83" t="s">
        <v>68</v>
      </c>
      <c r="F52" s="45" t="s">
        <v>37</v>
      </c>
      <c r="G52" s="45">
        <v>10</v>
      </c>
      <c r="H52" s="47">
        <v>12</v>
      </c>
      <c r="I52" s="44">
        <v>13</v>
      </c>
      <c r="J52" s="47">
        <v>13</v>
      </c>
      <c r="K52" s="44">
        <v>13</v>
      </c>
      <c r="L52" s="6">
        <v>13</v>
      </c>
      <c r="M52" s="6">
        <v>13</v>
      </c>
    </row>
    <row r="53" spans="1:13" ht="13" x14ac:dyDescent="0.15">
      <c r="A53" s="25"/>
      <c r="B53" s="64" t="s">
        <v>299</v>
      </c>
      <c r="C53" s="83">
        <v>3</v>
      </c>
      <c r="D53" s="83" t="s">
        <v>312</v>
      </c>
      <c r="E53" s="83" t="s">
        <v>66</v>
      </c>
      <c r="F53" s="45" t="s">
        <v>37</v>
      </c>
      <c r="G53" s="45">
        <v>10</v>
      </c>
      <c r="H53" s="47">
        <v>8</v>
      </c>
      <c r="I53" s="44">
        <v>10</v>
      </c>
      <c r="J53" s="47">
        <v>12</v>
      </c>
      <c r="K53" s="44">
        <v>12</v>
      </c>
      <c r="L53" s="120">
        <v>12</v>
      </c>
      <c r="M53" s="120">
        <v>12</v>
      </c>
    </row>
    <row r="54" spans="1:13" ht="13" x14ac:dyDescent="0.15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</row>
    <row r="55" spans="1:13" ht="13" x14ac:dyDescent="0.15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</row>
    <row r="56" spans="1:13" ht="13" x14ac:dyDescent="0.15">
      <c r="A56" s="40" t="s">
        <v>124</v>
      </c>
      <c r="B56" s="40" t="s">
        <v>52</v>
      </c>
      <c r="C56" s="40" t="s">
        <v>53</v>
      </c>
      <c r="D56" s="40" t="s">
        <v>54</v>
      </c>
      <c r="E56" s="40" t="s">
        <v>55</v>
      </c>
      <c r="F56" s="40" t="s">
        <v>56</v>
      </c>
      <c r="G56" s="40" t="s">
        <v>57</v>
      </c>
      <c r="H56" s="40" t="s">
        <v>58</v>
      </c>
      <c r="I56" s="40" t="s">
        <v>59</v>
      </c>
      <c r="J56" s="40" t="s">
        <v>60</v>
      </c>
      <c r="K56" s="40" t="s">
        <v>61</v>
      </c>
      <c r="L56" s="3" t="s">
        <v>62</v>
      </c>
      <c r="M56" s="3" t="s">
        <v>63</v>
      </c>
    </row>
    <row r="57" spans="1:13" ht="13" x14ac:dyDescent="0.15">
      <c r="A57" s="13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"/>
      <c r="M57" s="6"/>
    </row>
    <row r="58" spans="1:13" ht="13" x14ac:dyDescent="0.15">
      <c r="A58" s="13"/>
      <c r="B58" s="64" t="s">
        <v>151</v>
      </c>
      <c r="C58" s="83">
        <v>4</v>
      </c>
      <c r="D58" s="83" t="s">
        <v>307</v>
      </c>
      <c r="E58" s="83" t="s">
        <v>219</v>
      </c>
      <c r="F58" s="83" t="s">
        <v>37</v>
      </c>
      <c r="G58" s="83">
        <v>10</v>
      </c>
      <c r="H58" s="131">
        <v>46315</v>
      </c>
      <c r="I58" s="64"/>
      <c r="J58" s="66" t="s">
        <v>317</v>
      </c>
      <c r="K58" s="66" t="s">
        <v>287</v>
      </c>
      <c r="L58" s="120" t="s">
        <v>318</v>
      </c>
      <c r="M58" s="6"/>
    </row>
    <row r="59" spans="1:13" ht="13" x14ac:dyDescent="0.15">
      <c r="A59" s="13"/>
      <c r="B59" s="64" t="s">
        <v>303</v>
      </c>
      <c r="C59" s="83">
        <v>3</v>
      </c>
      <c r="D59" s="117">
        <v>41255</v>
      </c>
      <c r="E59" s="83" t="s">
        <v>68</v>
      </c>
      <c r="F59" s="83" t="s">
        <v>37</v>
      </c>
      <c r="G59" s="83">
        <v>10</v>
      </c>
      <c r="H59" s="74">
        <v>14</v>
      </c>
      <c r="I59" s="64"/>
      <c r="J59" s="64"/>
      <c r="K59" s="64"/>
      <c r="L59" s="6"/>
      <c r="M59" s="6"/>
    </row>
    <row r="60" spans="1:13" ht="13" x14ac:dyDescent="0.15">
      <c r="A60" s="13"/>
      <c r="B60" s="64" t="s">
        <v>89</v>
      </c>
      <c r="C60" s="83">
        <v>3</v>
      </c>
      <c r="D60" s="83" t="s">
        <v>312</v>
      </c>
      <c r="E60" s="83" t="s">
        <v>66</v>
      </c>
      <c r="F60" s="83" t="s">
        <v>37</v>
      </c>
      <c r="G60" s="83">
        <v>10</v>
      </c>
      <c r="H60" s="74">
        <v>40</v>
      </c>
      <c r="I60" s="64"/>
      <c r="J60" s="74">
        <v>30</v>
      </c>
      <c r="K60" s="66">
        <v>30</v>
      </c>
      <c r="L60" s="126">
        <v>35</v>
      </c>
      <c r="M60" s="6"/>
    </row>
    <row r="61" spans="1:13" ht="13" x14ac:dyDescent="0.15">
      <c r="A61" s="13"/>
      <c r="B61" s="64" t="s">
        <v>304</v>
      </c>
      <c r="C61" s="83">
        <v>3</v>
      </c>
      <c r="D61" s="117">
        <v>41255</v>
      </c>
      <c r="E61" s="83" t="s">
        <v>68</v>
      </c>
      <c r="F61" s="83" t="s">
        <v>37</v>
      </c>
      <c r="G61" s="83">
        <v>10</v>
      </c>
      <c r="H61" s="66">
        <v>20</v>
      </c>
      <c r="I61" s="64"/>
      <c r="J61" s="66">
        <v>22.5</v>
      </c>
      <c r="K61" s="118">
        <v>22.5</v>
      </c>
      <c r="L61" s="120">
        <v>22.5</v>
      </c>
      <c r="M61" s="6"/>
    </row>
    <row r="62" spans="1:13" ht="13" x14ac:dyDescent="0.15">
      <c r="A62" s="13"/>
      <c r="B62" s="64" t="s">
        <v>305</v>
      </c>
      <c r="C62" s="83">
        <v>3</v>
      </c>
      <c r="D62" s="83" t="s">
        <v>312</v>
      </c>
      <c r="E62" s="83" t="s">
        <v>66</v>
      </c>
      <c r="F62" s="83" t="s">
        <v>37</v>
      </c>
      <c r="G62" s="83">
        <v>10</v>
      </c>
      <c r="H62" s="74">
        <v>60</v>
      </c>
      <c r="I62" s="64"/>
      <c r="J62" s="66">
        <v>60</v>
      </c>
      <c r="K62" s="66">
        <v>50</v>
      </c>
      <c r="L62" s="116">
        <v>60</v>
      </c>
      <c r="M62" s="6"/>
    </row>
    <row r="63" spans="1:13" ht="13" x14ac:dyDescent="0.15">
      <c r="A63" s="13"/>
      <c r="B63" s="64" t="s">
        <v>306</v>
      </c>
      <c r="C63" s="83">
        <v>4</v>
      </c>
      <c r="D63" s="83" t="s">
        <v>172</v>
      </c>
      <c r="E63" s="83" t="s">
        <v>72</v>
      </c>
      <c r="F63" s="83" t="s">
        <v>37</v>
      </c>
      <c r="G63" s="83">
        <v>10</v>
      </c>
      <c r="H63" s="64"/>
      <c r="I63" s="64"/>
      <c r="J63" s="64"/>
      <c r="K63" s="64"/>
      <c r="L63" s="6"/>
      <c r="M63" s="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FF"/>
    <outlinePr summaryBelow="0" summaryRight="0"/>
  </sheetPr>
  <dimension ref="A1:M72"/>
  <sheetViews>
    <sheetView workbookViewId="0"/>
  </sheetViews>
  <sheetFormatPr baseColWidth="10" defaultColWidth="12.6640625" defaultRowHeight="15.75" customHeight="1" x14ac:dyDescent="0.15"/>
  <cols>
    <col min="1" max="1" width="29.1640625" customWidth="1"/>
    <col min="2" max="2" width="44.1640625" customWidth="1"/>
  </cols>
  <sheetData>
    <row r="1" spans="1:13" ht="15.75" customHeight="1" x14ac:dyDescent="0.15">
      <c r="A1" s="40" t="s">
        <v>90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3" ht="15.75" customHeight="1" x14ac:dyDescent="0.1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</row>
    <row r="3" spans="1:13" ht="15.75" customHeight="1" x14ac:dyDescent="0.15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25"/>
      <c r="M3" s="25"/>
    </row>
    <row r="4" spans="1:13" ht="15.75" customHeight="1" x14ac:dyDescent="0.15">
      <c r="A4" s="42" t="s">
        <v>51</v>
      </c>
      <c r="B4" s="43" t="s">
        <v>52</v>
      </c>
      <c r="C4" s="43" t="s">
        <v>53</v>
      </c>
      <c r="D4" s="43" t="s">
        <v>54</v>
      </c>
      <c r="E4" s="43" t="s">
        <v>55</v>
      </c>
      <c r="F4" s="43" t="s">
        <v>56</v>
      </c>
      <c r="G4" s="43" t="s">
        <v>57</v>
      </c>
      <c r="H4" s="43" t="s">
        <v>58</v>
      </c>
      <c r="I4" s="43" t="s">
        <v>59</v>
      </c>
      <c r="J4" s="43" t="s">
        <v>60</v>
      </c>
      <c r="K4" s="43" t="s">
        <v>61</v>
      </c>
      <c r="L4" s="40" t="s">
        <v>62</v>
      </c>
      <c r="M4" s="40" t="s">
        <v>63</v>
      </c>
    </row>
    <row r="5" spans="1:13" ht="15.75" customHeight="1" x14ac:dyDescent="0.15">
      <c r="A5" s="13"/>
      <c r="B5" s="44"/>
      <c r="C5" s="44"/>
      <c r="D5" s="44"/>
      <c r="E5" s="44"/>
      <c r="F5" s="44"/>
      <c r="G5" s="44"/>
      <c r="H5" s="44"/>
      <c r="I5" s="44"/>
      <c r="J5" s="44"/>
      <c r="K5" s="44"/>
      <c r="L5" s="64"/>
      <c r="M5" s="64"/>
    </row>
    <row r="6" spans="1:13" ht="15.75" customHeight="1" x14ac:dyDescent="0.15">
      <c r="A6" s="13"/>
      <c r="B6" s="44" t="s">
        <v>98</v>
      </c>
      <c r="C6" s="45">
        <v>4</v>
      </c>
      <c r="D6" s="45" t="s">
        <v>100</v>
      </c>
      <c r="E6" s="45" t="s">
        <v>66</v>
      </c>
      <c r="F6" s="45" t="s">
        <v>37</v>
      </c>
      <c r="G6" s="45">
        <v>10</v>
      </c>
      <c r="H6" s="47" t="s">
        <v>324</v>
      </c>
      <c r="I6" s="48" t="s">
        <v>325</v>
      </c>
      <c r="J6" s="48" t="s">
        <v>325</v>
      </c>
      <c r="K6" s="47" t="s">
        <v>325</v>
      </c>
      <c r="L6" s="74" t="s">
        <v>326</v>
      </c>
      <c r="M6" s="64"/>
    </row>
    <row r="7" spans="1:13" ht="15.75" customHeight="1" x14ac:dyDescent="0.15">
      <c r="A7" s="13"/>
      <c r="B7" s="44" t="s">
        <v>327</v>
      </c>
      <c r="C7" s="45">
        <v>3</v>
      </c>
      <c r="D7" s="45" t="s">
        <v>178</v>
      </c>
      <c r="E7" s="45" t="s">
        <v>66</v>
      </c>
      <c r="F7" s="45" t="s">
        <v>37</v>
      </c>
      <c r="G7" s="45">
        <v>10</v>
      </c>
      <c r="H7" s="137">
        <v>46301</v>
      </c>
      <c r="I7" s="47" t="s">
        <v>149</v>
      </c>
      <c r="J7" s="138">
        <v>46364</v>
      </c>
      <c r="K7" s="137">
        <v>46364</v>
      </c>
      <c r="L7" s="81" t="s">
        <v>328</v>
      </c>
      <c r="M7" s="140"/>
    </row>
    <row r="8" spans="1:13" ht="15.75" customHeight="1" x14ac:dyDescent="0.15">
      <c r="A8" s="13"/>
      <c r="B8" s="44" t="s">
        <v>329</v>
      </c>
      <c r="C8" s="45">
        <v>3</v>
      </c>
      <c r="D8" s="46">
        <v>41255</v>
      </c>
      <c r="E8" s="45" t="s">
        <v>72</v>
      </c>
      <c r="F8" s="45" t="s">
        <v>37</v>
      </c>
      <c r="G8" s="45">
        <v>10</v>
      </c>
      <c r="H8" s="47">
        <v>25</v>
      </c>
      <c r="I8" s="47">
        <v>12.5</v>
      </c>
      <c r="J8" s="47"/>
      <c r="K8" s="44"/>
      <c r="L8" s="66">
        <v>15</v>
      </c>
      <c r="M8" s="64"/>
    </row>
    <row r="9" spans="1:13" ht="15.75" customHeight="1" x14ac:dyDescent="0.15">
      <c r="A9" s="13"/>
      <c r="B9" s="44"/>
      <c r="C9" s="44"/>
      <c r="D9" s="44"/>
      <c r="E9" s="44"/>
      <c r="F9" s="44"/>
      <c r="G9" s="44"/>
      <c r="H9" s="47"/>
      <c r="I9" s="44"/>
      <c r="J9" s="44"/>
      <c r="K9" s="44"/>
      <c r="L9" s="64"/>
      <c r="M9" s="64"/>
    </row>
    <row r="10" spans="1:13" ht="15.75" customHeight="1" x14ac:dyDescent="0.15">
      <c r="A10" s="13"/>
      <c r="B10" s="44" t="s">
        <v>330</v>
      </c>
      <c r="C10" s="45">
        <v>4</v>
      </c>
      <c r="D10" s="45" t="s">
        <v>100</v>
      </c>
      <c r="E10" s="45" t="s">
        <v>66</v>
      </c>
      <c r="F10" s="45" t="s">
        <v>37</v>
      </c>
      <c r="G10" s="45">
        <v>10</v>
      </c>
      <c r="H10" s="47" t="s">
        <v>331</v>
      </c>
      <c r="I10" s="48" t="s">
        <v>332</v>
      </c>
      <c r="J10" s="48">
        <v>75</v>
      </c>
      <c r="K10" s="47">
        <v>75</v>
      </c>
      <c r="L10" s="74">
        <v>80</v>
      </c>
      <c r="M10" s="64"/>
    </row>
    <row r="11" spans="1:13" ht="15.75" customHeight="1" x14ac:dyDescent="0.15">
      <c r="A11" s="13"/>
      <c r="B11" s="44"/>
      <c r="C11" s="45"/>
      <c r="D11" s="45"/>
      <c r="E11" s="45"/>
      <c r="F11" s="45"/>
      <c r="G11" s="45"/>
      <c r="H11" s="47"/>
      <c r="I11" s="48"/>
      <c r="J11" s="48"/>
      <c r="K11" s="47"/>
      <c r="L11" s="74"/>
      <c r="M11" s="64"/>
    </row>
    <row r="12" spans="1:13" ht="15.75" customHeight="1" x14ac:dyDescent="0.15">
      <c r="A12" s="13"/>
      <c r="B12" s="44" t="s">
        <v>119</v>
      </c>
      <c r="C12" s="45">
        <v>3</v>
      </c>
      <c r="D12" s="45" t="s">
        <v>178</v>
      </c>
      <c r="E12" s="45" t="s">
        <v>66</v>
      </c>
      <c r="F12" s="45" t="s">
        <v>37</v>
      </c>
      <c r="G12" s="45">
        <v>10</v>
      </c>
      <c r="H12" s="47" t="s">
        <v>189</v>
      </c>
      <c r="I12" s="47" t="s">
        <v>189</v>
      </c>
      <c r="J12" s="47" t="s">
        <v>191</v>
      </c>
      <c r="K12" s="48" t="s">
        <v>120</v>
      </c>
      <c r="L12" s="64" t="s">
        <v>120</v>
      </c>
      <c r="M12" s="64"/>
    </row>
    <row r="13" spans="1:13" ht="15.75" customHeight="1" x14ac:dyDescent="0.15">
      <c r="A13" s="13"/>
      <c r="B13" s="44" t="s">
        <v>333</v>
      </c>
      <c r="C13" s="45">
        <v>3</v>
      </c>
      <c r="D13" s="46">
        <v>41255</v>
      </c>
      <c r="E13" s="45" t="s">
        <v>72</v>
      </c>
      <c r="F13" s="45" t="s">
        <v>37</v>
      </c>
      <c r="G13" s="45">
        <v>10</v>
      </c>
      <c r="H13" s="47">
        <v>20</v>
      </c>
      <c r="I13" s="48">
        <v>50</v>
      </c>
      <c r="J13" s="48">
        <v>50</v>
      </c>
      <c r="K13" s="47">
        <v>50</v>
      </c>
      <c r="L13" s="64"/>
      <c r="M13" s="64"/>
    </row>
    <row r="14" spans="1:13" ht="15.75" customHeight="1" x14ac:dyDescent="0.1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</row>
    <row r="15" spans="1:13" ht="15.75" customHeight="1" x14ac:dyDescent="0.1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</row>
    <row r="16" spans="1:13" ht="15.75" customHeight="1" x14ac:dyDescent="0.15">
      <c r="A16" s="40" t="s">
        <v>76</v>
      </c>
      <c r="B16" s="40" t="s">
        <v>52</v>
      </c>
      <c r="C16" s="40" t="s">
        <v>53</v>
      </c>
      <c r="D16" s="40" t="s">
        <v>54</v>
      </c>
      <c r="E16" s="40" t="s">
        <v>55</v>
      </c>
      <c r="F16" s="40" t="s">
        <v>56</v>
      </c>
      <c r="G16" s="40" t="s">
        <v>57</v>
      </c>
      <c r="H16" s="40" t="s">
        <v>58</v>
      </c>
      <c r="I16" s="40" t="s">
        <v>59</v>
      </c>
      <c r="J16" s="40" t="s">
        <v>60</v>
      </c>
      <c r="K16" s="40" t="s">
        <v>61</v>
      </c>
      <c r="L16" s="40" t="s">
        <v>62</v>
      </c>
      <c r="M16" s="40" t="s">
        <v>63</v>
      </c>
    </row>
    <row r="17" spans="1:13" ht="15.75" customHeight="1" x14ac:dyDescent="0.15">
      <c r="A17" s="13"/>
      <c r="B17" s="44"/>
      <c r="C17" s="44"/>
      <c r="D17" s="44"/>
      <c r="E17" s="44"/>
      <c r="F17" s="44"/>
      <c r="G17" s="44"/>
      <c r="H17" s="64"/>
      <c r="I17" s="64"/>
      <c r="J17" s="64"/>
      <c r="K17" s="64"/>
      <c r="L17" s="64"/>
      <c r="M17" s="64"/>
    </row>
    <row r="18" spans="1:13" ht="15.75" customHeight="1" x14ac:dyDescent="0.15">
      <c r="A18" s="13"/>
      <c r="B18" s="44" t="s">
        <v>334</v>
      </c>
      <c r="C18" s="45">
        <v>4</v>
      </c>
      <c r="D18" s="45" t="s">
        <v>100</v>
      </c>
      <c r="E18" s="45" t="s">
        <v>66</v>
      </c>
      <c r="F18" s="45" t="s">
        <v>37</v>
      </c>
      <c r="G18" s="45">
        <v>10</v>
      </c>
      <c r="H18" s="66" t="s">
        <v>335</v>
      </c>
      <c r="I18" s="74" t="s">
        <v>336</v>
      </c>
      <c r="J18" s="66" t="s">
        <v>337</v>
      </c>
      <c r="K18" s="74" t="s">
        <v>338</v>
      </c>
      <c r="L18" s="74" t="s">
        <v>338</v>
      </c>
      <c r="M18" s="64"/>
    </row>
    <row r="19" spans="1:13" ht="15.75" customHeight="1" x14ac:dyDescent="0.15">
      <c r="A19" s="13"/>
      <c r="B19" s="44" t="s">
        <v>339</v>
      </c>
      <c r="C19" s="45">
        <v>3</v>
      </c>
      <c r="D19" s="45" t="s">
        <v>178</v>
      </c>
      <c r="E19" s="45" t="s">
        <v>66</v>
      </c>
      <c r="F19" s="45" t="s">
        <v>37</v>
      </c>
      <c r="G19" s="45">
        <v>10</v>
      </c>
      <c r="H19" s="141">
        <v>46301</v>
      </c>
      <c r="I19" s="142">
        <v>46301</v>
      </c>
      <c r="J19" s="141">
        <v>46364</v>
      </c>
      <c r="K19" s="141">
        <v>46364</v>
      </c>
      <c r="L19" s="142">
        <v>46364</v>
      </c>
      <c r="M19" s="140"/>
    </row>
    <row r="20" spans="1:13" ht="15.75" customHeight="1" x14ac:dyDescent="0.15">
      <c r="A20" s="13"/>
      <c r="B20" s="44"/>
      <c r="C20" s="44"/>
      <c r="D20" s="44"/>
      <c r="E20" s="44"/>
      <c r="F20" s="44"/>
      <c r="G20" s="44"/>
      <c r="H20" s="24"/>
      <c r="I20" s="64"/>
      <c r="J20" s="64"/>
      <c r="K20" s="64"/>
      <c r="L20" s="64"/>
      <c r="M20" s="64"/>
    </row>
    <row r="21" spans="1:13" ht="15.75" customHeight="1" x14ac:dyDescent="0.15">
      <c r="A21" s="13"/>
      <c r="B21" s="44" t="s">
        <v>340</v>
      </c>
      <c r="C21" s="45">
        <v>4</v>
      </c>
      <c r="D21" s="45" t="s">
        <v>100</v>
      </c>
      <c r="E21" s="45" t="s">
        <v>66</v>
      </c>
      <c r="F21" s="45" t="s">
        <v>37</v>
      </c>
      <c r="G21" s="45">
        <v>10</v>
      </c>
      <c r="H21" s="66" t="s">
        <v>148</v>
      </c>
      <c r="I21" s="66" t="s">
        <v>341</v>
      </c>
      <c r="J21" s="66" t="s">
        <v>341</v>
      </c>
      <c r="K21" s="74">
        <v>12.5</v>
      </c>
      <c r="L21" s="66">
        <v>14</v>
      </c>
      <c r="M21" s="64"/>
    </row>
    <row r="22" spans="1:13" ht="15.75" customHeight="1" x14ac:dyDescent="0.15">
      <c r="A22" s="13"/>
      <c r="B22" s="44" t="s">
        <v>342</v>
      </c>
      <c r="C22" s="45">
        <v>3</v>
      </c>
      <c r="D22" s="45" t="s">
        <v>178</v>
      </c>
      <c r="E22" s="45" t="s">
        <v>66</v>
      </c>
      <c r="F22" s="45" t="s">
        <v>37</v>
      </c>
      <c r="G22" s="45">
        <v>10</v>
      </c>
      <c r="H22" s="143">
        <v>46331</v>
      </c>
      <c r="I22" s="66" t="s">
        <v>343</v>
      </c>
      <c r="J22" s="74" t="s">
        <v>344</v>
      </c>
      <c r="K22" s="64"/>
      <c r="L22" s="64"/>
      <c r="M22" s="64"/>
    </row>
    <row r="23" spans="1:13" ht="15.75" customHeight="1" x14ac:dyDescent="0.15">
      <c r="A23" s="13"/>
      <c r="B23" s="44"/>
      <c r="C23" s="44"/>
      <c r="D23" s="44"/>
      <c r="E23" s="44"/>
      <c r="F23" s="44"/>
      <c r="G23" s="44"/>
      <c r="H23" s="144"/>
      <c r="I23" s="64"/>
      <c r="J23" s="64"/>
      <c r="K23" s="64"/>
      <c r="L23" s="64"/>
      <c r="M23" s="64"/>
    </row>
    <row r="24" spans="1:13" ht="15.75" customHeight="1" x14ac:dyDescent="0.15">
      <c r="A24" s="13"/>
      <c r="B24" s="44" t="s">
        <v>345</v>
      </c>
      <c r="C24" s="45">
        <v>4</v>
      </c>
      <c r="D24" s="45" t="s">
        <v>100</v>
      </c>
      <c r="E24" s="45" t="s">
        <v>66</v>
      </c>
      <c r="F24" s="45" t="s">
        <v>37</v>
      </c>
      <c r="G24" s="45">
        <v>10</v>
      </c>
      <c r="H24" s="144">
        <v>26</v>
      </c>
      <c r="I24" s="66" t="s">
        <v>346</v>
      </c>
      <c r="J24" s="66" t="s">
        <v>346</v>
      </c>
      <c r="K24" s="64"/>
      <c r="L24" s="64"/>
      <c r="M24" s="64"/>
    </row>
    <row r="25" spans="1:13" ht="15.75" customHeight="1" x14ac:dyDescent="0.15">
      <c r="A25" s="13"/>
      <c r="B25" s="44" t="s">
        <v>147</v>
      </c>
      <c r="C25" s="45">
        <v>3</v>
      </c>
      <c r="D25" s="45" t="s">
        <v>178</v>
      </c>
      <c r="E25" s="45" t="s">
        <v>66</v>
      </c>
      <c r="F25" s="45" t="s">
        <v>37</v>
      </c>
      <c r="G25" s="45">
        <v>10</v>
      </c>
      <c r="H25" s="144">
        <v>20</v>
      </c>
      <c r="I25" s="66" t="s">
        <v>347</v>
      </c>
      <c r="J25" s="66" t="s">
        <v>347</v>
      </c>
      <c r="K25" s="64"/>
      <c r="L25" s="64"/>
      <c r="M25" s="64"/>
    </row>
    <row r="26" spans="1:13" ht="15.75" customHeight="1" x14ac:dyDescent="0.1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</row>
    <row r="27" spans="1:13" ht="15.75" customHeight="1" x14ac:dyDescent="0.1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</row>
    <row r="28" spans="1:13" ht="15.75" customHeight="1" x14ac:dyDescent="0.15">
      <c r="A28" s="40" t="s">
        <v>86</v>
      </c>
      <c r="B28" s="40" t="s">
        <v>52</v>
      </c>
      <c r="C28" s="40" t="s">
        <v>53</v>
      </c>
      <c r="D28" s="40" t="s">
        <v>54</v>
      </c>
      <c r="E28" s="40" t="s">
        <v>55</v>
      </c>
      <c r="F28" s="40" t="s">
        <v>56</v>
      </c>
      <c r="G28" s="40" t="s">
        <v>57</v>
      </c>
      <c r="H28" s="40" t="s">
        <v>58</v>
      </c>
      <c r="I28" s="40" t="s">
        <v>59</v>
      </c>
      <c r="J28" s="40" t="s">
        <v>60</v>
      </c>
      <c r="K28" s="40" t="s">
        <v>61</v>
      </c>
      <c r="L28" s="40" t="s">
        <v>62</v>
      </c>
      <c r="M28" s="40" t="s">
        <v>63</v>
      </c>
    </row>
    <row r="29" spans="1:13" ht="15.75" customHeight="1" x14ac:dyDescent="0.15">
      <c r="A29" s="13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64"/>
      <c r="M29" s="64"/>
    </row>
    <row r="30" spans="1:13" ht="15.75" customHeight="1" x14ac:dyDescent="0.15">
      <c r="A30" s="13"/>
      <c r="B30" s="44" t="s">
        <v>348</v>
      </c>
      <c r="C30" s="45">
        <v>4</v>
      </c>
      <c r="D30" s="45" t="s">
        <v>100</v>
      </c>
      <c r="E30" s="45" t="s">
        <v>66</v>
      </c>
      <c r="F30" s="45" t="s">
        <v>37</v>
      </c>
      <c r="G30" s="44"/>
      <c r="H30" s="48" t="s">
        <v>346</v>
      </c>
      <c r="I30" s="47" t="s">
        <v>346</v>
      </c>
      <c r="J30" s="47" t="s">
        <v>346</v>
      </c>
      <c r="K30" s="44"/>
      <c r="L30" s="64"/>
      <c r="M30" s="64"/>
    </row>
    <row r="31" spans="1:13" ht="15.75" customHeight="1" x14ac:dyDescent="0.15">
      <c r="A31" s="13"/>
      <c r="B31" s="44" t="s">
        <v>153</v>
      </c>
      <c r="C31" s="45">
        <v>3</v>
      </c>
      <c r="D31" s="45" t="s">
        <v>178</v>
      </c>
      <c r="E31" s="45" t="s">
        <v>66</v>
      </c>
      <c r="F31" s="45" t="s">
        <v>37</v>
      </c>
      <c r="G31" s="44"/>
      <c r="H31" s="44" t="s">
        <v>349</v>
      </c>
      <c r="I31" s="47" t="s">
        <v>349</v>
      </c>
      <c r="J31" s="48" t="s">
        <v>179</v>
      </c>
      <c r="K31" s="44"/>
      <c r="L31" s="64"/>
      <c r="M31" s="64"/>
    </row>
    <row r="32" spans="1:13" ht="15.75" customHeight="1" x14ac:dyDescent="0.15">
      <c r="A32" s="13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64"/>
      <c r="M32" s="64"/>
    </row>
    <row r="33" spans="1:13" ht="15.75" customHeight="1" x14ac:dyDescent="0.15">
      <c r="A33" s="13"/>
      <c r="B33" s="44" t="s">
        <v>157</v>
      </c>
      <c r="C33" s="45">
        <v>4</v>
      </c>
      <c r="D33" s="45" t="s">
        <v>100</v>
      </c>
      <c r="E33" s="45" t="s">
        <v>66</v>
      </c>
      <c r="F33" s="45" t="s">
        <v>37</v>
      </c>
      <c r="G33" s="44"/>
      <c r="H33" s="44" t="s">
        <v>350</v>
      </c>
      <c r="I33" s="65" t="s">
        <v>158</v>
      </c>
      <c r="J33" s="47">
        <v>70</v>
      </c>
      <c r="K33" s="44"/>
      <c r="L33" s="64"/>
      <c r="M33" s="64"/>
    </row>
    <row r="34" spans="1:13" ht="15.75" customHeight="1" x14ac:dyDescent="0.15">
      <c r="A34" s="13"/>
      <c r="B34" s="44" t="s">
        <v>351</v>
      </c>
      <c r="C34" s="45">
        <v>3</v>
      </c>
      <c r="D34" s="45" t="s">
        <v>178</v>
      </c>
      <c r="E34" s="45" t="s">
        <v>66</v>
      </c>
      <c r="F34" s="45" t="s">
        <v>37</v>
      </c>
      <c r="G34" s="44"/>
      <c r="H34" s="44">
        <v>20</v>
      </c>
      <c r="I34" s="44"/>
      <c r="J34" s="44" t="s">
        <v>166</v>
      </c>
      <c r="K34" s="44"/>
      <c r="L34" s="64"/>
      <c r="M34" s="64"/>
    </row>
    <row r="35" spans="1:13" ht="15.75" customHeight="1" x14ac:dyDescent="0.15">
      <c r="A35" s="13"/>
      <c r="B35" s="44"/>
      <c r="C35" s="44"/>
      <c r="D35" s="44"/>
      <c r="E35" s="44"/>
      <c r="F35" s="44"/>
      <c r="G35" s="44"/>
      <c r="H35" s="44"/>
      <c r="I35" s="44"/>
      <c r="J35" s="82"/>
      <c r="K35" s="82"/>
      <c r="L35" s="64"/>
      <c r="M35" s="64"/>
    </row>
    <row r="36" spans="1:13" ht="15.75" customHeight="1" x14ac:dyDescent="0.15">
      <c r="A36" s="13"/>
      <c r="B36" s="44" t="s">
        <v>352</v>
      </c>
      <c r="C36" s="45">
        <v>4</v>
      </c>
      <c r="D36" s="45" t="s">
        <v>97</v>
      </c>
      <c r="E36" s="45" t="s">
        <v>72</v>
      </c>
      <c r="F36" s="45" t="s">
        <v>37</v>
      </c>
      <c r="G36" s="44"/>
      <c r="H36" s="44">
        <v>100</v>
      </c>
      <c r="I36" s="44"/>
      <c r="J36" s="44"/>
      <c r="K36" s="44"/>
      <c r="L36" s="64"/>
      <c r="M36" s="64"/>
    </row>
    <row r="37" spans="1:13" ht="15.75" customHeight="1" x14ac:dyDescent="0.15">
      <c r="A37" s="13"/>
      <c r="B37" s="44" t="s">
        <v>353</v>
      </c>
      <c r="C37" s="45">
        <v>4</v>
      </c>
      <c r="D37" s="45" t="s">
        <v>97</v>
      </c>
      <c r="E37" s="45" t="s">
        <v>72</v>
      </c>
      <c r="F37" s="45" t="s">
        <v>37</v>
      </c>
      <c r="G37" s="44"/>
      <c r="H37" s="44"/>
      <c r="I37" s="44"/>
      <c r="J37" s="44"/>
      <c r="K37" s="44"/>
      <c r="L37" s="64"/>
      <c r="M37" s="64"/>
    </row>
    <row r="38" spans="1:13" ht="15.75" customHeight="1" x14ac:dyDescent="0.1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</row>
    <row r="39" spans="1:13" ht="15.75" customHeight="1" x14ac:dyDescent="0.1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</row>
    <row r="40" spans="1:13" ht="15.75" customHeight="1" x14ac:dyDescent="0.15">
      <c r="A40" s="40" t="s">
        <v>96</v>
      </c>
      <c r="B40" s="40" t="s">
        <v>52</v>
      </c>
      <c r="C40" s="40" t="s">
        <v>53</v>
      </c>
      <c r="D40" s="40" t="s">
        <v>54</v>
      </c>
      <c r="E40" s="40" t="s">
        <v>55</v>
      </c>
      <c r="F40" s="40" t="s">
        <v>56</v>
      </c>
      <c r="G40" s="40" t="s">
        <v>57</v>
      </c>
      <c r="H40" s="40" t="s">
        <v>58</v>
      </c>
      <c r="I40" s="40" t="s">
        <v>59</v>
      </c>
      <c r="J40" s="40" t="s">
        <v>60</v>
      </c>
      <c r="K40" s="40" t="s">
        <v>61</v>
      </c>
      <c r="L40" s="40" t="s">
        <v>62</v>
      </c>
      <c r="M40" s="40" t="s">
        <v>63</v>
      </c>
    </row>
    <row r="41" spans="1:13" ht="15.75" customHeight="1" x14ac:dyDescent="0.15">
      <c r="A41" s="13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64"/>
      <c r="M41" s="64"/>
    </row>
    <row r="42" spans="1:13" ht="15.75" customHeight="1" x14ac:dyDescent="0.15">
      <c r="A42" s="13"/>
      <c r="B42" s="44" t="s">
        <v>98</v>
      </c>
      <c r="C42" s="45">
        <v>4</v>
      </c>
      <c r="D42" s="45" t="s">
        <v>173</v>
      </c>
      <c r="E42" s="45" t="s">
        <v>66</v>
      </c>
      <c r="F42" s="45" t="s">
        <v>37</v>
      </c>
      <c r="G42" s="45">
        <v>10</v>
      </c>
      <c r="H42" s="47" t="s">
        <v>324</v>
      </c>
      <c r="I42" s="47" t="s">
        <v>324</v>
      </c>
      <c r="J42" s="48" t="s">
        <v>325</v>
      </c>
      <c r="K42" s="48" t="s">
        <v>325</v>
      </c>
      <c r="L42" s="64"/>
      <c r="M42" s="64"/>
    </row>
    <row r="43" spans="1:13" ht="15.75" customHeight="1" x14ac:dyDescent="0.15">
      <c r="A43" s="13"/>
      <c r="B43" s="44" t="s">
        <v>327</v>
      </c>
      <c r="C43" s="45">
        <v>3</v>
      </c>
      <c r="D43" s="45" t="s">
        <v>354</v>
      </c>
      <c r="E43" s="45" t="s">
        <v>66</v>
      </c>
      <c r="F43" s="45" t="s">
        <v>37</v>
      </c>
      <c r="G43" s="45">
        <v>10</v>
      </c>
      <c r="H43" s="145">
        <v>46301</v>
      </c>
      <c r="I43" s="146">
        <v>46363</v>
      </c>
      <c r="J43" s="147">
        <v>46363</v>
      </c>
      <c r="K43" s="148" t="s">
        <v>328</v>
      </c>
      <c r="L43" s="64"/>
      <c r="M43" s="64"/>
    </row>
    <row r="44" spans="1:13" ht="15.75" customHeight="1" x14ac:dyDescent="0.15">
      <c r="A44" s="13"/>
      <c r="B44" s="44" t="s">
        <v>329</v>
      </c>
      <c r="C44" s="45">
        <v>3</v>
      </c>
      <c r="D44" s="45" t="s">
        <v>71</v>
      </c>
      <c r="E44" s="45" t="s">
        <v>72</v>
      </c>
      <c r="F44" s="45" t="s">
        <v>37</v>
      </c>
      <c r="G44" s="45">
        <v>10</v>
      </c>
      <c r="H44" s="44">
        <v>12.5</v>
      </c>
      <c r="I44" s="48">
        <v>12.5</v>
      </c>
      <c r="J44" s="47">
        <v>15</v>
      </c>
      <c r="K44" s="48">
        <v>16</v>
      </c>
      <c r="L44" s="64"/>
      <c r="M44" s="64"/>
    </row>
    <row r="45" spans="1:13" ht="15.75" customHeight="1" x14ac:dyDescent="0.15">
      <c r="A45" s="13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64"/>
      <c r="M45" s="64"/>
    </row>
    <row r="46" spans="1:13" ht="13" x14ac:dyDescent="0.15">
      <c r="A46" s="13"/>
      <c r="B46" s="44" t="s">
        <v>330</v>
      </c>
      <c r="C46" s="45">
        <v>4</v>
      </c>
      <c r="D46" s="45" t="s">
        <v>173</v>
      </c>
      <c r="E46" s="45" t="s">
        <v>66</v>
      </c>
      <c r="F46" s="45" t="s">
        <v>37</v>
      </c>
      <c r="G46" s="45">
        <v>10</v>
      </c>
      <c r="H46" s="47" t="s">
        <v>331</v>
      </c>
      <c r="I46" s="48" t="s">
        <v>332</v>
      </c>
      <c r="J46" s="44"/>
      <c r="K46" s="47" t="s">
        <v>332</v>
      </c>
      <c r="L46" s="64"/>
      <c r="M46" s="64"/>
    </row>
    <row r="47" spans="1:13" ht="13" x14ac:dyDescent="0.15">
      <c r="A47" s="13"/>
      <c r="B47" s="44" t="s">
        <v>119</v>
      </c>
      <c r="C47" s="45">
        <v>3</v>
      </c>
      <c r="D47" s="45" t="s">
        <v>354</v>
      </c>
      <c r="E47" s="45" t="s">
        <v>66</v>
      </c>
      <c r="F47" s="45" t="s">
        <v>37</v>
      </c>
      <c r="G47" s="45">
        <v>10</v>
      </c>
      <c r="H47" s="47" t="s">
        <v>355</v>
      </c>
      <c r="I47" s="47" t="s">
        <v>355</v>
      </c>
      <c r="J47" s="44"/>
      <c r="K47" s="48" t="s">
        <v>356</v>
      </c>
      <c r="L47" s="64"/>
      <c r="M47" s="64"/>
    </row>
    <row r="48" spans="1:13" ht="13" x14ac:dyDescent="0.15">
      <c r="A48" s="13"/>
      <c r="B48" s="44" t="s">
        <v>333</v>
      </c>
      <c r="C48" s="45">
        <v>3</v>
      </c>
      <c r="D48" s="45" t="s">
        <v>71</v>
      </c>
      <c r="E48" s="45" t="s">
        <v>72</v>
      </c>
      <c r="F48" s="45" t="s">
        <v>37</v>
      </c>
      <c r="G48" s="45">
        <v>10</v>
      </c>
      <c r="H48" s="47">
        <v>20</v>
      </c>
      <c r="I48" s="47">
        <v>20</v>
      </c>
      <c r="J48" s="44"/>
      <c r="K48" s="44"/>
      <c r="L48" s="64"/>
      <c r="M48" s="64"/>
    </row>
    <row r="49" spans="1:13" ht="13" x14ac:dyDescent="0.1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</row>
    <row r="50" spans="1:13" ht="13" x14ac:dyDescent="0.1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</row>
    <row r="51" spans="1:13" ht="13" x14ac:dyDescent="0.15">
      <c r="A51" s="40" t="s">
        <v>113</v>
      </c>
      <c r="B51" s="40" t="s">
        <v>52</v>
      </c>
      <c r="C51" s="40" t="s">
        <v>53</v>
      </c>
      <c r="D51" s="40" t="s">
        <v>54</v>
      </c>
      <c r="E51" s="40" t="s">
        <v>55</v>
      </c>
      <c r="F51" s="40" t="s">
        <v>56</v>
      </c>
      <c r="G51" s="40" t="s">
        <v>57</v>
      </c>
      <c r="H51" s="40" t="s">
        <v>58</v>
      </c>
      <c r="I51" s="40" t="s">
        <v>59</v>
      </c>
      <c r="J51" s="40" t="s">
        <v>60</v>
      </c>
      <c r="K51" s="40" t="s">
        <v>61</v>
      </c>
      <c r="L51" s="40" t="s">
        <v>62</v>
      </c>
      <c r="M51" s="40" t="s">
        <v>63</v>
      </c>
    </row>
    <row r="52" spans="1:13" ht="13" x14ac:dyDescent="0.15">
      <c r="A52" s="13"/>
      <c r="B52" s="44"/>
      <c r="C52" s="44"/>
      <c r="D52" s="44"/>
      <c r="E52" s="44"/>
      <c r="F52" s="44"/>
      <c r="G52" s="44"/>
      <c r="H52" s="64"/>
      <c r="I52" s="64"/>
      <c r="J52" s="64"/>
      <c r="K52" s="64"/>
      <c r="L52" s="64"/>
      <c r="M52" s="64"/>
    </row>
    <row r="53" spans="1:13" ht="13" x14ac:dyDescent="0.15">
      <c r="A53" s="13"/>
      <c r="B53" s="44" t="s">
        <v>334</v>
      </c>
      <c r="C53" s="45">
        <v>4</v>
      </c>
      <c r="D53" s="45" t="s">
        <v>173</v>
      </c>
      <c r="E53" s="45" t="s">
        <v>66</v>
      </c>
      <c r="F53" s="45" t="s">
        <v>37</v>
      </c>
      <c r="G53" s="45">
        <v>10</v>
      </c>
      <c r="H53" s="66" t="s">
        <v>335</v>
      </c>
      <c r="I53" s="66" t="s">
        <v>335</v>
      </c>
      <c r="J53" s="74" t="s">
        <v>336</v>
      </c>
      <c r="K53" s="66" t="s">
        <v>336</v>
      </c>
      <c r="L53" s="64"/>
      <c r="M53" s="64"/>
    </row>
    <row r="54" spans="1:13" ht="13" x14ac:dyDescent="0.15">
      <c r="A54" s="13"/>
      <c r="B54" s="44" t="s">
        <v>339</v>
      </c>
      <c r="C54" s="45">
        <v>3</v>
      </c>
      <c r="D54" s="45" t="s">
        <v>354</v>
      </c>
      <c r="E54" s="45" t="s">
        <v>66</v>
      </c>
      <c r="F54" s="45" t="s">
        <v>37</v>
      </c>
      <c r="G54" s="45">
        <v>10</v>
      </c>
      <c r="H54" s="141">
        <v>46301</v>
      </c>
      <c r="I54" s="141">
        <v>46301</v>
      </c>
      <c r="J54" s="142">
        <v>46301</v>
      </c>
      <c r="K54" s="141">
        <v>46364</v>
      </c>
      <c r="L54" s="140"/>
      <c r="M54" s="64"/>
    </row>
    <row r="55" spans="1:13" ht="13" x14ac:dyDescent="0.15">
      <c r="A55" s="13"/>
      <c r="B55" s="44"/>
      <c r="C55" s="44"/>
      <c r="D55" s="44"/>
      <c r="E55" s="44"/>
      <c r="F55" s="44"/>
      <c r="G55" s="44"/>
      <c r="H55" s="74"/>
      <c r="I55" s="64"/>
      <c r="J55" s="64"/>
      <c r="K55" s="64"/>
      <c r="L55" s="64"/>
      <c r="M55" s="64"/>
    </row>
    <row r="56" spans="1:13" ht="13" x14ac:dyDescent="0.15">
      <c r="A56" s="13"/>
      <c r="B56" s="44" t="s">
        <v>340</v>
      </c>
      <c r="C56" s="45">
        <v>4</v>
      </c>
      <c r="D56" s="45" t="s">
        <v>173</v>
      </c>
      <c r="E56" s="45" t="s">
        <v>66</v>
      </c>
      <c r="F56" s="45" t="s">
        <v>37</v>
      </c>
      <c r="G56" s="45">
        <v>10</v>
      </c>
      <c r="H56" s="66" t="s">
        <v>148</v>
      </c>
      <c r="I56" s="66">
        <v>11</v>
      </c>
      <c r="J56" s="74">
        <v>12.5</v>
      </c>
      <c r="K56" s="64">
        <v>12.5</v>
      </c>
      <c r="L56" s="64"/>
      <c r="M56" s="64"/>
    </row>
    <row r="57" spans="1:13" ht="13" x14ac:dyDescent="0.15">
      <c r="A57" s="13"/>
      <c r="B57" s="44" t="s">
        <v>342</v>
      </c>
      <c r="C57" s="45">
        <v>3</v>
      </c>
      <c r="D57" s="45" t="s">
        <v>354</v>
      </c>
      <c r="E57" s="45" t="s">
        <v>66</v>
      </c>
      <c r="F57" s="45" t="s">
        <v>37</v>
      </c>
      <c r="G57" s="45">
        <v>10</v>
      </c>
      <c r="H57" s="143">
        <v>46331</v>
      </c>
      <c r="I57" s="66" t="s">
        <v>357</v>
      </c>
      <c r="J57" s="64"/>
      <c r="K57" s="64"/>
      <c r="L57" s="64"/>
      <c r="M57" s="64"/>
    </row>
    <row r="58" spans="1:13" ht="13" x14ac:dyDescent="0.15">
      <c r="A58" s="13"/>
      <c r="B58" s="44"/>
      <c r="C58" s="44"/>
      <c r="D58" s="44"/>
      <c r="E58" s="44"/>
      <c r="F58" s="44"/>
      <c r="G58" s="44"/>
      <c r="H58" s="144"/>
      <c r="I58" s="64"/>
      <c r="J58" s="64"/>
      <c r="K58" s="64"/>
      <c r="L58" s="64"/>
      <c r="M58" s="64"/>
    </row>
    <row r="59" spans="1:13" ht="13" x14ac:dyDescent="0.15">
      <c r="A59" s="13"/>
      <c r="B59" s="44" t="s">
        <v>345</v>
      </c>
      <c r="C59" s="45">
        <v>4</v>
      </c>
      <c r="D59" s="45" t="s">
        <v>173</v>
      </c>
      <c r="E59" s="45" t="s">
        <v>66</v>
      </c>
      <c r="F59" s="45" t="s">
        <v>37</v>
      </c>
      <c r="G59" s="45">
        <v>10</v>
      </c>
      <c r="H59" s="144">
        <v>26</v>
      </c>
      <c r="I59" s="64"/>
      <c r="J59" s="64"/>
      <c r="K59" s="64"/>
      <c r="L59" s="64"/>
      <c r="M59" s="64"/>
    </row>
    <row r="60" spans="1:13" ht="13" x14ac:dyDescent="0.15">
      <c r="A60" s="13"/>
      <c r="B60" s="44" t="s">
        <v>147</v>
      </c>
      <c r="C60" s="45">
        <v>3</v>
      </c>
      <c r="D60" s="45" t="s">
        <v>354</v>
      </c>
      <c r="E60" s="45" t="s">
        <v>66</v>
      </c>
      <c r="F60" s="45" t="s">
        <v>37</v>
      </c>
      <c r="G60" s="45">
        <v>10</v>
      </c>
      <c r="H60" s="144">
        <v>20</v>
      </c>
      <c r="I60" s="66" t="s">
        <v>355</v>
      </c>
      <c r="J60" s="64"/>
      <c r="K60" s="64"/>
      <c r="L60" s="64"/>
      <c r="M60" s="64"/>
    </row>
    <row r="61" spans="1:13" ht="13" x14ac:dyDescent="0.1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</row>
    <row r="62" spans="1:13" ht="13" x14ac:dyDescent="0.1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</row>
    <row r="63" spans="1:13" ht="13" x14ac:dyDescent="0.15">
      <c r="A63" s="40" t="s">
        <v>124</v>
      </c>
      <c r="B63" s="40" t="s">
        <v>52</v>
      </c>
      <c r="C63" s="40" t="s">
        <v>53</v>
      </c>
      <c r="D63" s="40" t="s">
        <v>54</v>
      </c>
      <c r="E63" s="40" t="s">
        <v>55</v>
      </c>
      <c r="F63" s="40" t="s">
        <v>56</v>
      </c>
      <c r="G63" s="40" t="s">
        <v>57</v>
      </c>
      <c r="H63" s="40" t="s">
        <v>58</v>
      </c>
      <c r="I63" s="40" t="s">
        <v>59</v>
      </c>
      <c r="J63" s="40" t="s">
        <v>60</v>
      </c>
      <c r="K63" s="40" t="s">
        <v>61</v>
      </c>
      <c r="L63" s="40" t="s">
        <v>62</v>
      </c>
      <c r="M63" s="40" t="s">
        <v>63</v>
      </c>
    </row>
    <row r="64" spans="1:13" ht="13" x14ac:dyDescent="0.15">
      <c r="A64" s="13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64"/>
      <c r="M64" s="64"/>
    </row>
    <row r="65" spans="1:13" ht="13" x14ac:dyDescent="0.15">
      <c r="A65" s="13"/>
      <c r="B65" s="44" t="s">
        <v>348</v>
      </c>
      <c r="C65" s="45">
        <v>4</v>
      </c>
      <c r="D65" s="45" t="s">
        <v>173</v>
      </c>
      <c r="E65" s="45" t="s">
        <v>66</v>
      </c>
      <c r="F65" s="45" t="s">
        <v>37</v>
      </c>
      <c r="G65" s="44"/>
      <c r="H65" s="44"/>
      <c r="I65" s="44"/>
      <c r="J65" s="44"/>
      <c r="K65" s="44"/>
      <c r="L65" s="64"/>
      <c r="M65" s="64"/>
    </row>
    <row r="66" spans="1:13" ht="13" x14ac:dyDescent="0.15">
      <c r="A66" s="13"/>
      <c r="B66" s="44" t="s">
        <v>153</v>
      </c>
      <c r="C66" s="45">
        <v>3</v>
      </c>
      <c r="D66" s="45" t="s">
        <v>354</v>
      </c>
      <c r="E66" s="45" t="s">
        <v>66</v>
      </c>
      <c r="F66" s="45" t="s">
        <v>37</v>
      </c>
      <c r="G66" s="44"/>
      <c r="H66" s="44"/>
      <c r="I66" s="44"/>
      <c r="J66" s="44"/>
      <c r="K66" s="44"/>
      <c r="L66" s="64"/>
      <c r="M66" s="64"/>
    </row>
    <row r="67" spans="1:13" ht="13" x14ac:dyDescent="0.15">
      <c r="A67" s="13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64"/>
      <c r="M67" s="64"/>
    </row>
    <row r="68" spans="1:13" ht="13" x14ac:dyDescent="0.15">
      <c r="A68" s="13"/>
      <c r="B68" s="44" t="s">
        <v>157</v>
      </c>
      <c r="C68" s="45">
        <v>4</v>
      </c>
      <c r="D68" s="45" t="s">
        <v>173</v>
      </c>
      <c r="E68" s="45" t="s">
        <v>66</v>
      </c>
      <c r="F68" s="45" t="s">
        <v>37</v>
      </c>
      <c r="G68" s="44"/>
      <c r="H68" s="62"/>
      <c r="I68" s="44"/>
      <c r="J68" s="44"/>
      <c r="K68" s="44"/>
      <c r="L68" s="64"/>
      <c r="M68" s="64"/>
    </row>
    <row r="69" spans="1:13" ht="13" x14ac:dyDescent="0.15">
      <c r="A69" s="13"/>
      <c r="B69" s="44" t="s">
        <v>351</v>
      </c>
      <c r="C69" s="45">
        <v>3</v>
      </c>
      <c r="D69" s="45" t="s">
        <v>354</v>
      </c>
      <c r="E69" s="45" t="s">
        <v>66</v>
      </c>
      <c r="F69" s="45" t="s">
        <v>37</v>
      </c>
      <c r="G69" s="44"/>
      <c r="H69" s="44"/>
      <c r="I69" s="44"/>
      <c r="J69" s="44"/>
      <c r="K69" s="44"/>
      <c r="L69" s="64"/>
      <c r="M69" s="64"/>
    </row>
    <row r="70" spans="1:13" ht="13" x14ac:dyDescent="0.15">
      <c r="A70" s="13"/>
      <c r="B70" s="44"/>
      <c r="C70" s="44"/>
      <c r="D70" s="44"/>
      <c r="E70" s="44"/>
      <c r="F70" s="44"/>
      <c r="G70" s="44"/>
      <c r="H70" s="44"/>
      <c r="I70" s="44"/>
      <c r="J70" s="82"/>
      <c r="K70" s="82"/>
      <c r="L70" s="64"/>
      <c r="M70" s="64"/>
    </row>
    <row r="71" spans="1:13" ht="13" x14ac:dyDescent="0.15">
      <c r="A71" s="13"/>
      <c r="B71" s="44" t="s">
        <v>352</v>
      </c>
      <c r="C71" s="45">
        <v>4</v>
      </c>
      <c r="D71" s="45" t="s">
        <v>172</v>
      </c>
      <c r="E71" s="45" t="s">
        <v>72</v>
      </c>
      <c r="F71" s="45" t="s">
        <v>37</v>
      </c>
      <c r="G71" s="44"/>
      <c r="H71" s="44"/>
      <c r="I71" s="44"/>
      <c r="J71" s="44"/>
      <c r="K71" s="44"/>
      <c r="L71" s="64"/>
      <c r="M71" s="64"/>
    </row>
    <row r="72" spans="1:13" ht="13" x14ac:dyDescent="0.15">
      <c r="A72" s="13"/>
      <c r="B72" s="44" t="s">
        <v>353</v>
      </c>
      <c r="C72" s="45">
        <v>4</v>
      </c>
      <c r="D72" s="45" t="s">
        <v>172</v>
      </c>
      <c r="E72" s="45" t="s">
        <v>72</v>
      </c>
      <c r="F72" s="45" t="s">
        <v>37</v>
      </c>
      <c r="G72" s="44"/>
      <c r="H72" s="44"/>
      <c r="I72" s="44"/>
      <c r="J72" s="44"/>
      <c r="K72" s="44"/>
      <c r="L72" s="64"/>
      <c r="M72" s="6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Personal Info</vt:lpstr>
      <vt:lpstr>Metabolic Analysis</vt:lpstr>
      <vt:lpstr>Nutritional Plan</vt:lpstr>
      <vt:lpstr>Compliance Document</vt:lpstr>
      <vt:lpstr>TP 16-2-26</vt:lpstr>
      <vt:lpstr>TP 30-3-26</vt:lpstr>
      <vt:lpstr>TP 11-5-26</vt:lpstr>
      <vt:lpstr>TP 6-7-26</vt:lpstr>
      <vt:lpstr>TP 17-8-26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Mogollón</cp:lastModifiedBy>
  <dcterms:created xsi:type="dcterms:W3CDTF">2026-09-15T07:32:34Z</dcterms:created>
  <dcterms:modified xsi:type="dcterms:W3CDTF">2026-09-15T07:32:34Z</dcterms:modified>
</cp:coreProperties>
</file>